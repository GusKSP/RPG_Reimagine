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290D30D-D2D9-4D14-94EA-3C4AA34495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Valores Capturados" sheetId="2" r:id="rId2"/>
  </sheets>
  <calcPr calcId="191028"/>
  <pivotCaches>
    <pivotCache cacheId="96" r:id="rId3"/>
    <pivotCache cacheId="97" r:id="rId4"/>
    <pivotCache cacheId="9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2" i="2" l="1" a="1"/>
  <c r="N42" i="2"/>
  <c r="AD12" i="1"/>
  <c r="R42" i="2" a="1"/>
  <c r="R42" i="2"/>
  <c r="AD69" i="1" s="1"/>
  <c r="P42" i="2" a="1"/>
  <c r="P42" i="2"/>
  <c r="AD41" i="1" s="1"/>
  <c r="T36" i="2"/>
  <c r="N99" i="1" s="1"/>
  <c r="R36" i="2"/>
  <c r="R39" i="2" s="1"/>
  <c r="V69" i="1" s="1"/>
  <c r="P36" i="2"/>
  <c r="P39" i="2" s="1"/>
  <c r="V41" i="1" s="1"/>
  <c r="N36" i="2"/>
  <c r="I2" i="2"/>
  <c r="I3" i="2"/>
  <c r="I4" i="2"/>
  <c r="I5" i="2"/>
  <c r="I6" i="2"/>
  <c r="I7" i="2"/>
  <c r="I8" i="2"/>
  <c r="I9" i="2"/>
  <c r="I10" i="2"/>
  <c r="I11" i="2"/>
  <c r="I12" i="2"/>
  <c r="F2" i="2"/>
  <c r="F3" i="2"/>
  <c r="F4" i="2"/>
  <c r="F5" i="2"/>
  <c r="F6" i="2"/>
  <c r="F7" i="2"/>
  <c r="F8" i="2"/>
  <c r="F9" i="2"/>
  <c r="F10" i="2"/>
  <c r="F11" i="2"/>
  <c r="F12" i="2"/>
  <c r="C2" i="2"/>
  <c r="C3" i="2"/>
  <c r="C4" i="2"/>
  <c r="C5" i="2"/>
  <c r="C6" i="2"/>
  <c r="C7" i="2"/>
  <c r="C8" i="2"/>
  <c r="C9" i="2"/>
  <c r="C10" i="2"/>
  <c r="C11" i="2"/>
  <c r="C12" i="2"/>
  <c r="N39" i="2" l="1"/>
  <c r="V12" i="1" s="1"/>
  <c r="N12" i="1"/>
  <c r="N41" i="1"/>
  <c r="V36" i="2"/>
  <c r="V99" i="1" s="1"/>
  <c r="N6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<sst xmlns="http://schemas.openxmlformats.org/spreadsheetml/2006/main" count="39" uniqueCount="28">
  <si>
    <t>Dashboard_RpgReimagine</t>
  </si>
  <si>
    <t>Usuários Cadastrados (últimos 10 dias)</t>
  </si>
  <si>
    <t>Elementos por Mesa (média)</t>
  </si>
  <si>
    <t>Usuários Cadastrados (Último dia)</t>
  </si>
  <si>
    <t>Personagens Criados (últimos 10 dias)</t>
  </si>
  <si>
    <t>Personagens Criados (Último dia)</t>
  </si>
  <si>
    <t>Mesas Criadas (últimos 10 dias)</t>
  </si>
  <si>
    <t>Mesas Criadas (Último Dia)</t>
  </si>
  <si>
    <t>Elementos Criados(últimos 10 dias)</t>
  </si>
  <si>
    <t>Quantidade_Usuarios_Cadastrados</t>
  </si>
  <si>
    <t>Data</t>
  </si>
  <si>
    <t>Quantidade_personagens_criados</t>
  </si>
  <si>
    <t>Quantidade_Mesas_Criadas</t>
  </si>
  <si>
    <t>Quantidade_elementos_por_mesa</t>
  </si>
  <si>
    <t>id_mesa</t>
  </si>
  <si>
    <t>Soma de Quantidade_Mesas_Criadas</t>
  </si>
  <si>
    <t>Soma de Quantidade_elementos_por_mesa</t>
  </si>
  <si>
    <t>Total Usuários Cadastrados</t>
  </si>
  <si>
    <t>Total Personagens Criados</t>
  </si>
  <si>
    <t>Total Mesas Criadas</t>
  </si>
  <si>
    <t>Total Elementos Criados</t>
  </si>
  <si>
    <t>Média Elementos por mesa</t>
  </si>
  <si>
    <t>Média Usuários Por dia</t>
  </si>
  <si>
    <t>Média Personagens Por dia</t>
  </si>
  <si>
    <t>Média MesasPor dia</t>
  </si>
  <si>
    <t>Último Valor Capturado (cadastros)</t>
  </si>
  <si>
    <t>Último Valor Capturado (personagens)</t>
  </si>
  <si>
    <t>Último Valor Capturado (mesas)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</si>
</sst>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4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rgb="FF9C5700"/>
      <name val="Calibri"/>
      <scheme val="minor"/>
    </font>
    <font>
      <b/>
      <sz val="48"/>
      <color rgb="FF006100"/>
      <name val="Calibri"/>
      <scheme val="minor"/>
    </font>
    <font>
      <b/>
      <sz val="48"/>
      <color rgb="FF9C0006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E5571D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2">
    <xf numFmtId="0" fontId="0" fillId="0" borderId="0" xfId="0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9" fillId="3" borderId="1" xfId="2" applyFont="1" applyBorder="1" applyAlignment="1">
      <alignment horizontal="center" vertical="center"/>
    </xf>
    <xf numFmtId="0" fontId="9" fillId="3" borderId="2" xfId="2" applyFont="1" applyBorder="1" applyAlignment="1">
      <alignment horizontal="center" vertical="center"/>
    </xf>
    <xf numFmtId="0" fontId="9" fillId="3" borderId="3" xfId="2" applyFont="1" applyBorder="1" applyAlignment="1">
      <alignment horizontal="center" vertical="center"/>
    </xf>
    <xf numFmtId="0" fontId="9" fillId="3" borderId="4" xfId="2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9" fillId="3" borderId="5" xfId="2" applyFont="1" applyBorder="1" applyAlignment="1">
      <alignment horizontal="center" vertical="center"/>
    </xf>
    <xf numFmtId="0" fontId="9" fillId="3" borderId="6" xfId="2" applyFont="1" applyBorder="1" applyAlignment="1">
      <alignment horizontal="center" vertical="center"/>
    </xf>
    <xf numFmtId="0" fontId="9" fillId="3" borderId="7" xfId="2" applyFont="1" applyBorder="1" applyAlignment="1">
      <alignment horizontal="center" vertical="center"/>
    </xf>
    <xf numFmtId="0" fontId="9" fillId="3" borderId="8" xfId="2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4" borderId="1" xfId="3" applyFont="1" applyBorder="1" applyAlignment="1">
      <alignment horizontal="center" vertical="center"/>
    </xf>
    <xf numFmtId="0" fontId="7" fillId="4" borderId="2" xfId="3" applyFont="1" applyBorder="1" applyAlignment="1">
      <alignment horizontal="center" vertical="center"/>
    </xf>
    <xf numFmtId="0" fontId="7" fillId="4" borderId="3" xfId="3" applyFont="1" applyBorder="1" applyAlignment="1">
      <alignment horizontal="center" vertical="center"/>
    </xf>
    <xf numFmtId="0" fontId="7" fillId="4" borderId="4" xfId="3" applyFont="1" applyBorder="1" applyAlignment="1">
      <alignment horizontal="center" vertical="center"/>
    </xf>
    <xf numFmtId="0" fontId="7" fillId="4" borderId="0" xfId="3" applyFont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7" fillId="4" borderId="6" xfId="3" applyFont="1" applyBorder="1" applyAlignment="1">
      <alignment horizontal="center" vertical="center"/>
    </xf>
    <xf numFmtId="0" fontId="7" fillId="4" borderId="7" xfId="3" applyFont="1" applyBorder="1" applyAlignment="1">
      <alignment horizontal="center" vertical="center"/>
    </xf>
    <xf numFmtId="0" fontId="7" fillId="4" borderId="8" xfId="3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8" fillId="2" borderId="3" xfId="1" applyFont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8" fillId="2" borderId="0" xfId="1" applyFont="1" applyBorder="1" applyAlignment="1">
      <alignment horizontal="center" vertical="center"/>
    </xf>
    <xf numFmtId="0" fontId="8" fillId="2" borderId="5" xfId="1" applyFont="1" applyBorder="1" applyAlignment="1">
      <alignment horizontal="center" vertical="center"/>
    </xf>
    <xf numFmtId="0" fontId="8" fillId="2" borderId="6" xfId="1" applyFont="1" applyBorder="1" applyAlignment="1">
      <alignment horizontal="center" vertical="center"/>
    </xf>
    <xf numFmtId="0" fontId="8" fillId="2" borderId="7" xfId="1" applyFont="1" applyBorder="1" applyAlignment="1">
      <alignment horizontal="center" vertical="center"/>
    </xf>
    <xf numFmtId="0" fontId="8" fillId="2" borderId="8" xfId="1" applyFont="1" applyBorder="1" applyAlignment="1">
      <alignment horizontal="center" vertical="center"/>
    </xf>
  </cellXfs>
  <cellStyles count="4">
    <cellStyle name="Bom" xfId="1" builtinId="26"/>
    <cellStyle name="Neutro" xfId="3" builtinId="28"/>
    <cellStyle name="Normal" xfId="0" builtinId="0"/>
    <cellStyle name="Ruim" xfId="2" builtinId="27"/>
  </cellStyles>
  <dxfs count="11"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E557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Usuários Cadastrados (últimos 10 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'Valores Capturados'!$B$1</c:f>
              <c:strCache>
                <c:ptCount val="1"/>
                <c:pt idx="0">
                  <c:v>Quantidade_Usuarios_Cadastrados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'Valores Capturados'!$C$2:$C$13</c:f>
              <c:numCache>
                <c:formatCode>m/d/yyyy</c:formatCode>
                <c:ptCount val="12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</c:numCache>
            </c:numRef>
          </c:cat>
          <c:val>
            <c:numRef>
              <c:f>'Valores Capturados'!$B$2:$B$13</c:f>
              <c:numCache>
                <c:formatCode>General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15</c:v>
                </c:pt>
                <c:pt idx="6">
                  <c:v>13</c:v>
                </c:pt>
                <c:pt idx="7">
                  <c:v>5</c:v>
                </c:pt>
                <c:pt idx="8">
                  <c:v>6</c:v>
                </c:pt>
                <c:pt idx="9">
                  <c:v>13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1-4581-B324-115C06186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0854024"/>
        <c:axId val="1695505416"/>
      </c:lineChart>
      <c:dateAx>
        <c:axId val="15608540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05416"/>
        <c:crosses val="autoZero"/>
        <c:auto val="1"/>
        <c:lblOffset val="100"/>
        <c:baseTimeUnit val="days"/>
      </c:dateAx>
      <c:valAx>
        <c:axId val="169550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5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Personagens Criados (últimos 10 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'Valores Capturados'!$E$1</c:f>
              <c:strCache>
                <c:ptCount val="1"/>
                <c:pt idx="0">
                  <c:v>Quantidade_personagens_criados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'Valores Capturados'!$F$2:$F$12</c:f>
              <c:numCache>
                <c:formatCode>m/d/yyyy</c:formatCode>
                <c:ptCount val="11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</c:numCache>
            </c:numRef>
          </c:cat>
          <c:val>
            <c:numRef>
              <c:f>'Valores Capturados'!$E$2:$E$12</c:f>
              <c:numCache>
                <c:formatCode>General</c:formatCode>
                <c:ptCount val="11"/>
                <c:pt idx="0">
                  <c:v>18</c:v>
                </c:pt>
                <c:pt idx="1">
                  <c:v>0</c:v>
                </c:pt>
                <c:pt idx="2">
                  <c:v>6</c:v>
                </c:pt>
                <c:pt idx="3">
                  <c:v>14</c:v>
                </c:pt>
                <c:pt idx="4">
                  <c:v>0</c:v>
                </c:pt>
                <c:pt idx="5">
                  <c:v>30</c:v>
                </c:pt>
                <c:pt idx="6">
                  <c:v>13</c:v>
                </c:pt>
                <c:pt idx="7">
                  <c:v>0</c:v>
                </c:pt>
                <c:pt idx="8">
                  <c:v>12</c:v>
                </c:pt>
                <c:pt idx="9">
                  <c:v>39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2-4C3A-9F73-90B82EE27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446536"/>
        <c:axId val="1560867848"/>
      </c:lineChart>
      <c:dateAx>
        <c:axId val="15594465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67848"/>
        <c:crosses val="autoZero"/>
        <c:auto val="1"/>
        <c:lblOffset val="100"/>
        <c:baseTimeUnit val="days"/>
      </c:dateAx>
      <c:valAx>
        <c:axId val="15608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4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Mesas Criadas (últimos 10 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'Valores Capturados'!$H$1</c:f>
              <c:strCache>
                <c:ptCount val="1"/>
                <c:pt idx="0">
                  <c:v>Quantidade_Mesas_Criadas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'Valores Capturados'!$I$2:$I$12</c:f>
              <c:numCache>
                <c:formatCode>m/d/yyyy</c:formatCode>
                <c:ptCount val="11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</c:numCache>
            </c:numRef>
          </c:cat>
          <c:val>
            <c:numRef>
              <c:f>'Valores Capturados'!$H$2:$H$12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3-421A-811A-A80C60826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603720"/>
        <c:axId val="1560817160"/>
      </c:lineChart>
      <c:dateAx>
        <c:axId val="1559603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17160"/>
        <c:crosses val="autoZero"/>
        <c:auto val="1"/>
        <c:lblOffset val="100"/>
        <c:baseTimeUnit val="days"/>
      </c:dateAx>
      <c:valAx>
        <c:axId val="156081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0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Capturados'!$K$1</c:f>
              <c:strCache>
                <c:ptCount val="1"/>
                <c:pt idx="0">
                  <c:v>Quantidade_elementos_por_mesa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numRef>
              <c:f>'Valores Capturados'!$L$2:$L$15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'Valores Capturados'!$K$2:$K$15</c:f>
              <c:numCache>
                <c:formatCode>General</c:formatCode>
                <c:ptCount val="14"/>
                <c:pt idx="0">
                  <c:v>480</c:v>
                </c:pt>
                <c:pt idx="1">
                  <c:v>445</c:v>
                </c:pt>
                <c:pt idx="2">
                  <c:v>255</c:v>
                </c:pt>
                <c:pt idx="3">
                  <c:v>487</c:v>
                </c:pt>
                <c:pt idx="4">
                  <c:v>179</c:v>
                </c:pt>
                <c:pt idx="5">
                  <c:v>408</c:v>
                </c:pt>
                <c:pt idx="6">
                  <c:v>129</c:v>
                </c:pt>
                <c:pt idx="7">
                  <c:v>490</c:v>
                </c:pt>
                <c:pt idx="8">
                  <c:v>388</c:v>
                </c:pt>
                <c:pt idx="9">
                  <c:v>385</c:v>
                </c:pt>
                <c:pt idx="10">
                  <c:v>327</c:v>
                </c:pt>
                <c:pt idx="11">
                  <c:v>255</c:v>
                </c:pt>
                <c:pt idx="12">
                  <c:v>487</c:v>
                </c:pt>
                <c:pt idx="13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3-4B49-8ED0-8AB8D5C83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815112"/>
        <c:axId val="1560840200"/>
      </c:barChart>
      <c:catAx>
        <c:axId val="156081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40200"/>
        <c:crosses val="autoZero"/>
        <c:auto val="1"/>
        <c:lblAlgn val="ctr"/>
        <c:lblOffset val="100"/>
        <c:noMultiLvlLbl val="0"/>
      </c:catAx>
      <c:valAx>
        <c:axId val="156084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1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Usuários Cadastrados (últimos 10 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'Valores Capturados'!$B$1</c:f>
              <c:strCache>
                <c:ptCount val="1"/>
                <c:pt idx="0">
                  <c:v>Quantidade_Usuarios_Cadastrados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'Valores Capturados'!$C$2:$C$12</c:f>
              <c:numCache>
                <c:formatCode>m/d/yyyy</c:formatCode>
                <c:ptCount val="11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</c:numCache>
            </c:numRef>
          </c:cat>
          <c:val>
            <c:numRef>
              <c:f>'Valores Capturados'!$B$2:$B$12</c:f>
              <c:numCache>
                <c:formatCode>General</c:formatCode>
                <c:ptCount val="11"/>
                <c:pt idx="0">
                  <c:v>9</c:v>
                </c:pt>
                <c:pt idx="1">
                  <c:v>10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15</c:v>
                </c:pt>
                <c:pt idx="6">
                  <c:v>13</c:v>
                </c:pt>
                <c:pt idx="7">
                  <c:v>5</c:v>
                </c:pt>
                <c:pt idx="8">
                  <c:v>6</c:v>
                </c:pt>
                <c:pt idx="9">
                  <c:v>13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74-4CCD-B15E-5815865E0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0854024"/>
        <c:axId val="1695505416"/>
      </c:lineChart>
      <c:dateAx>
        <c:axId val="15608540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05416"/>
        <c:crosses val="autoZero"/>
        <c:auto val="1"/>
        <c:lblOffset val="100"/>
        <c:baseTimeUnit val="days"/>
      </c:dateAx>
      <c:valAx>
        <c:axId val="169550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5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Personagens Criados (últimos 10 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'Valores Capturados'!$E$1</c:f>
              <c:strCache>
                <c:ptCount val="1"/>
                <c:pt idx="0">
                  <c:v>Quantidade_personagens_criados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'Valores Capturados'!$F$2:$F$12</c:f>
              <c:numCache>
                <c:formatCode>m/d/yyyy</c:formatCode>
                <c:ptCount val="11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</c:numCache>
            </c:numRef>
          </c:cat>
          <c:val>
            <c:numRef>
              <c:f>'Valores Capturados'!$E$2:$E$12</c:f>
              <c:numCache>
                <c:formatCode>General</c:formatCode>
                <c:ptCount val="11"/>
                <c:pt idx="0">
                  <c:v>18</c:v>
                </c:pt>
                <c:pt idx="1">
                  <c:v>0</c:v>
                </c:pt>
                <c:pt idx="2">
                  <c:v>6</c:v>
                </c:pt>
                <c:pt idx="3">
                  <c:v>14</c:v>
                </c:pt>
                <c:pt idx="4">
                  <c:v>0</c:v>
                </c:pt>
                <c:pt idx="5">
                  <c:v>30</c:v>
                </c:pt>
                <c:pt idx="6">
                  <c:v>13</c:v>
                </c:pt>
                <c:pt idx="7">
                  <c:v>0</c:v>
                </c:pt>
                <c:pt idx="8">
                  <c:v>12</c:v>
                </c:pt>
                <c:pt idx="9">
                  <c:v>39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A7-447C-97E4-365901F35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446536"/>
        <c:axId val="1560867848"/>
      </c:lineChart>
      <c:dateAx>
        <c:axId val="15594465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67848"/>
        <c:crosses val="autoZero"/>
        <c:auto val="1"/>
        <c:lblOffset val="100"/>
        <c:baseTimeUnit val="days"/>
      </c:dateAx>
      <c:valAx>
        <c:axId val="15608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4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Mesas Criadas (últimos 10 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'Valores Capturados'!$H$1</c:f>
              <c:strCache>
                <c:ptCount val="1"/>
                <c:pt idx="0">
                  <c:v>Quantidade_Mesas_Criadas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'Valores Capturados'!$I$2:$I$12</c:f>
              <c:numCache>
                <c:formatCode>m/d/yyyy</c:formatCode>
                <c:ptCount val="11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</c:numCache>
            </c:numRef>
          </c:cat>
          <c:val>
            <c:numRef>
              <c:f>'Valores Capturados'!$H$2:$H$12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41-4314-B0C4-AF41DF1EA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603720"/>
        <c:axId val="1560817160"/>
      </c:lineChart>
      <c:dateAx>
        <c:axId val="1559603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17160"/>
        <c:crosses val="autoZero"/>
        <c:auto val="1"/>
        <c:lblOffset val="100"/>
        <c:baseTimeUnit val="days"/>
      </c:dateAx>
      <c:valAx>
        <c:axId val="156081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0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Capturados'!$K$1</c:f>
              <c:strCache>
                <c:ptCount val="1"/>
                <c:pt idx="0">
                  <c:v>Quantidade_elementos_por_mesa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val>
            <c:numRef>
              <c:f>'Valores Capturados'!$K$2:$K$15</c:f>
              <c:numCache>
                <c:formatCode>General</c:formatCode>
                <c:ptCount val="14"/>
                <c:pt idx="0">
                  <c:v>480</c:v>
                </c:pt>
                <c:pt idx="1">
                  <c:v>445</c:v>
                </c:pt>
                <c:pt idx="2">
                  <c:v>255</c:v>
                </c:pt>
                <c:pt idx="3">
                  <c:v>487</c:v>
                </c:pt>
                <c:pt idx="4">
                  <c:v>179</c:v>
                </c:pt>
                <c:pt idx="5">
                  <c:v>408</c:v>
                </c:pt>
                <c:pt idx="6">
                  <c:v>129</c:v>
                </c:pt>
                <c:pt idx="7">
                  <c:v>490</c:v>
                </c:pt>
                <c:pt idx="8">
                  <c:v>388</c:v>
                </c:pt>
                <c:pt idx="9">
                  <c:v>385</c:v>
                </c:pt>
                <c:pt idx="10">
                  <c:v>327</c:v>
                </c:pt>
                <c:pt idx="11">
                  <c:v>255</c:v>
                </c:pt>
                <c:pt idx="12">
                  <c:v>487</c:v>
                </c:pt>
                <c:pt idx="13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42-4AB6-9D21-7102E2EB4049}"/>
            </c:ext>
          </c:extLst>
        </c:ser>
        <c:ser>
          <c:idx val="1"/>
          <c:order val="1"/>
          <c:tx>
            <c:strRef>
              <c:f>'Valores Capturados'!$L$1</c:f>
              <c:strCache>
                <c:ptCount val="1"/>
                <c:pt idx="0">
                  <c:v>id_mesa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val>
            <c:numRef>
              <c:f>'Valores Capturados'!$L$2:$L$15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42-4AB6-9D21-7102E2EB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815112"/>
        <c:axId val="1560840200"/>
      </c:barChart>
      <c:catAx>
        <c:axId val="156081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40200"/>
        <c:crosses val="autoZero"/>
        <c:auto val="1"/>
        <c:lblAlgn val="ctr"/>
        <c:lblOffset val="100"/>
        <c:noMultiLvlLbl val="0"/>
      </c:catAx>
      <c:valAx>
        <c:axId val="156084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1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8</xdr:row>
      <xdr:rowOff>0</xdr:rowOff>
    </xdr:from>
    <xdr:to>
      <xdr:col>11</xdr:col>
      <xdr:colOff>581025</xdr:colOff>
      <xdr:row>34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7DFE8E-00D3-43A9-BBC0-BF6865EB1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37</xdr:row>
      <xdr:rowOff>0</xdr:rowOff>
    </xdr:from>
    <xdr:to>
      <xdr:col>11</xdr:col>
      <xdr:colOff>523875</xdr:colOff>
      <xdr:row>60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8C2B5B-1D97-41F8-BF41-02967F6A49B4}"/>
            </a:ext>
            <a:ext uri="{147F2762-F138-4A5C-976F-8EAC2B608ADB}">
              <a16:predDERef xmlns:a16="http://schemas.microsoft.com/office/drawing/2014/main" pred="{377DFE8E-00D3-43A9-BBC0-BF6865EB1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64</xdr:row>
      <xdr:rowOff>85725</xdr:rowOff>
    </xdr:from>
    <xdr:to>
      <xdr:col>11</xdr:col>
      <xdr:colOff>523875</xdr:colOff>
      <xdr:row>90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AEA4BF-51DA-44EF-901B-D481F48C69EA}"/>
            </a:ext>
            <a:ext uri="{147F2762-F138-4A5C-976F-8EAC2B608ADB}">
              <a16:predDERef xmlns:a16="http://schemas.microsoft.com/office/drawing/2014/main" pred="{6D8C2B5B-1D97-41F8-BF41-02967F6A4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285750</xdr:colOff>
      <xdr:row>95</xdr:row>
      <xdr:rowOff>0</xdr:rowOff>
    </xdr:from>
    <xdr:to>
      <xdr:col>11</xdr:col>
      <xdr:colOff>514350</xdr:colOff>
      <xdr:row>120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3839AE-4B7A-4303-9169-747E6B370667}"/>
            </a:ext>
            <a:ext uri="{147F2762-F138-4A5C-976F-8EAC2B608ADB}">
              <a16:predDERef xmlns:a16="http://schemas.microsoft.com/office/drawing/2014/main" pred="{AEAEA4BF-51DA-44EF-901B-D481F48C6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17</xdr:row>
      <xdr:rowOff>28575</xdr:rowOff>
    </xdr:from>
    <xdr:to>
      <xdr:col>4</xdr:col>
      <xdr:colOff>1028700</xdr:colOff>
      <xdr:row>31</xdr:row>
      <xdr:rowOff>104775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4068545-E4A7-3112-DE93-BF31C3C62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1543050</xdr:colOff>
      <xdr:row>16</xdr:row>
      <xdr:rowOff>152400</xdr:rowOff>
    </xdr:from>
    <xdr:to>
      <xdr:col>9</xdr:col>
      <xdr:colOff>190500</xdr:colOff>
      <xdr:row>31</xdr:row>
      <xdr:rowOff>38100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35FC792-296C-C40D-E736-0F1A605FEE26}"/>
            </a:ext>
            <a:ext uri="{147F2762-F138-4A5C-976F-8EAC2B608ADB}">
              <a16:predDERef xmlns:a16="http://schemas.microsoft.com/office/drawing/2014/main" pred="{D4068545-E4A7-3112-DE93-BF31C3C62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133350</xdr:colOff>
      <xdr:row>17</xdr:row>
      <xdr:rowOff>19050</xdr:rowOff>
    </xdr:from>
    <xdr:to>
      <xdr:col>14</xdr:col>
      <xdr:colOff>95250</xdr:colOff>
      <xdr:row>31</xdr:row>
      <xdr:rowOff>95250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DB254AA-5234-3B7A-B6A0-39A98517D507}"/>
            </a:ext>
            <a:ext uri="{147F2762-F138-4A5C-976F-8EAC2B608ADB}">
              <a16:predDERef xmlns:a16="http://schemas.microsoft.com/office/drawing/2014/main" pred="{135FC792-296C-C40D-E736-0F1A605FE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428625</xdr:colOff>
      <xdr:row>17</xdr:row>
      <xdr:rowOff>0</xdr:rowOff>
    </xdr:from>
    <xdr:to>
      <xdr:col>17</xdr:col>
      <xdr:colOff>1028700</xdr:colOff>
      <xdr:row>31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840F8A5-74D2-9C4A-93C5-9F3592EE81BC}"/>
            </a:ext>
            <a:ext uri="{147F2762-F138-4A5C-976F-8EAC2B608ADB}">
              <a16:predDERef xmlns:a16="http://schemas.microsoft.com/office/drawing/2014/main" pred="{CDB254AA-5234-3B7A-B6A0-39A98517D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867950462962" createdVersion="8" refreshedVersion="8" minRefreshableVersion="3" recordCount="11" xr:uid="{306CEAA9-D631-4279-BE77-F07531F790BE}">
  <cacheSource type="worksheet">
    <worksheetSource name="Tabela4"/>
  </cacheSource>
  <cacheFields count="2">
    <cacheField name="Quantidade_Usuarios_Cadastrados" numFmtId="0">
      <sharedItems containsSemiMixedTypes="0" containsString="0" containsNumber="1" containsInteger="1" minValue="1" maxValue="15" count="9">
        <n v="1"/>
        <n v="13"/>
        <n v="6"/>
        <n v="5"/>
        <n v="15"/>
        <n v="9"/>
        <n v="7"/>
        <n v="2"/>
        <n v="10"/>
      </sharedItems>
    </cacheField>
    <cacheField name="Data" numFmtId="14">
      <sharedItems containsSemiMixedTypes="0" containsNonDate="0" containsDate="1" containsString="0" minDate="2026-04-24T00:00:00" maxDate="2026-05-05T00:00:00" count="11">
        <d v="2026-05-04T00:00:00"/>
        <d v="2026-05-03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869357754629" createdVersion="8" refreshedVersion="8" minRefreshableVersion="3" recordCount="11" xr:uid="{787241C5-9C35-450E-A5CB-EB0550386F73}">
  <cacheSource type="worksheet">
    <worksheetSource name="Tabela6"/>
  </cacheSource>
  <cacheFields count="2">
    <cacheField name="Quantidade_Mesas_Criadas" numFmtId="0">
      <sharedItems containsSemiMixedTypes="0" containsString="0" containsNumber="1" containsInteger="1" minValue="0" maxValue="2" count="3">
        <n v="0"/>
        <n v="1"/>
        <n v="2"/>
      </sharedItems>
    </cacheField>
    <cacheField name="Data" numFmtId="14">
      <sharedItems containsSemiMixedTypes="0" containsNonDate="0" containsDate="1" containsString="0" minDate="2026-04-24T00:00:00" maxDate="2026-05-05T00:00:00" count="11">
        <d v="2026-05-04T00:00:00"/>
        <d v="2026-05-03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86978854167" createdVersion="8" refreshedVersion="8" minRefreshableVersion="3" recordCount="11" xr:uid="{C1B834B3-5536-4DD8-9BE3-4A373914C373}">
  <cacheSource type="worksheet">
    <worksheetSource name="Tabela7"/>
  </cacheSource>
  <cacheFields count="2">
    <cacheField name="Quantidade_elementos_por_mesa" numFmtId="0">
      <sharedItems containsSemiMixedTypes="0" containsString="0" containsNumber="1" containsInteger="1" minValue="129" maxValue="490"/>
    </cacheField>
    <cacheField name="Data" numFmtId="14">
      <sharedItems containsSemiMixedTypes="0" containsNonDate="0" containsDate="1" containsString="0" minDate="2026-04-24T00:00:00" maxDate="2026-05-05T00:00:00" count="11">
        <d v="2026-05-04T00:00:00"/>
        <d v="2026-05-03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</r>
  <r>
    <x v="1"/>
    <x v="1"/>
  </r>
  <r>
    <x v="2"/>
    <x v="2"/>
  </r>
  <r>
    <x v="3"/>
    <x v="3"/>
  </r>
  <r>
    <x v="1"/>
    <x v="4"/>
  </r>
  <r>
    <x v="4"/>
    <x v="5"/>
  </r>
  <r>
    <x v="5"/>
    <x v="6"/>
  </r>
  <r>
    <x v="6"/>
    <x v="7"/>
  </r>
  <r>
    <x v="7"/>
    <x v="8"/>
  </r>
  <r>
    <x v="8"/>
    <x v="9"/>
  </r>
  <r>
    <x v="2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</r>
  <r>
    <x v="0"/>
    <x v="1"/>
  </r>
  <r>
    <x v="1"/>
    <x v="2"/>
  </r>
  <r>
    <x v="2"/>
    <x v="3"/>
  </r>
  <r>
    <x v="1"/>
    <x v="4"/>
  </r>
  <r>
    <x v="2"/>
    <x v="5"/>
  </r>
  <r>
    <x v="2"/>
    <x v="6"/>
  </r>
  <r>
    <x v="2"/>
    <x v="7"/>
  </r>
  <r>
    <x v="2"/>
    <x v="8"/>
  </r>
  <r>
    <x v="2"/>
    <x v="9"/>
  </r>
  <r>
    <x v="0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480"/>
    <x v="0"/>
  </r>
  <r>
    <n v="445"/>
    <x v="1"/>
  </r>
  <r>
    <n v="255"/>
    <x v="2"/>
  </r>
  <r>
    <n v="487"/>
    <x v="3"/>
  </r>
  <r>
    <n v="179"/>
    <x v="4"/>
  </r>
  <r>
    <n v="408"/>
    <x v="5"/>
  </r>
  <r>
    <n v="129"/>
    <x v="6"/>
  </r>
  <r>
    <n v="490"/>
    <x v="7"/>
  </r>
  <r>
    <n v="388"/>
    <x v="8"/>
  </r>
  <r>
    <n v="385"/>
    <x v="9"/>
  </r>
  <r>
    <n v="32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753D8-1582-47CD-A25E-AF621ACE09F1}" name="Tabela Dinâmica1" cacheId="96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1">
  <location ref="N2:O13" firstHeaderRow="1" firstDataRow="1" firstDataCol="2"/>
  <pivotFields count="2">
    <pivotField axis="axisRow" compact="0" outline="0" showAll="0" defaultSubtotal="0">
      <items count="9">
        <item x="0"/>
        <item x="7"/>
        <item x="3"/>
        <item x="2"/>
        <item x="6"/>
        <item x="5"/>
        <item x="8"/>
        <item x="1"/>
        <item x="4"/>
      </items>
    </pivotField>
    <pivotField axis="axisRow" compact="0" numFmtId="14" outline="0" showAll="0" defaultSubtotal="0">
      <items count="11"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2">
    <field x="1"/>
    <field x="0"/>
  </rowFields>
  <rowItems count="11">
    <i>
      <x/>
      <x v="3"/>
    </i>
    <i>
      <x v="1"/>
      <x v="6"/>
    </i>
    <i>
      <x v="2"/>
      <x v="1"/>
    </i>
    <i>
      <x v="3"/>
      <x v="4"/>
    </i>
    <i>
      <x v="4"/>
      <x v="5"/>
    </i>
    <i>
      <x v="5"/>
      <x v="8"/>
    </i>
    <i>
      <x v="6"/>
      <x v="7"/>
    </i>
    <i>
      <x v="7"/>
      <x v="2"/>
    </i>
    <i>
      <x v="8"/>
      <x v="3"/>
    </i>
    <i>
      <x v="9"/>
      <x v="7"/>
    </i>
    <i>
      <x v="10"/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D13BD-F2B7-4706-A883-C109043ADDE0}" name="Tabela Dinâmica4" cacheId="9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W2:X13" firstHeaderRow="1" firstDataRow="1" firstDataCol="1"/>
  <pivotFields count="2">
    <pivotField dataField="1" compact="0" outline="0" showAll="0"/>
    <pivotField axis="axisRow" compact="0" numFmtId="14" outline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oma de Quantidade_elementos_por_mesa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F40D0-506E-490A-A210-02CBAF052301}" name="Tabela Dinâmica3" cacheId="97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T2:U13" firstHeaderRow="1" firstDataRow="1" firstDataCol="1"/>
  <pivotFields count="2">
    <pivotField dataField="1" compact="0" outline="0" showAll="0"/>
    <pivotField axis="axisRow" compact="0" numFmtId="14" outline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oma de Quantidade_Mesas_Criada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9F290-BD68-48EE-AAD6-C4C0742FFBDE}" name="Tabela Dinâmica2" cacheId="97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Q2:R13" firstHeaderRow="1" firstDataRow="1" firstDataCol="2"/>
  <pivotFields count="2">
    <pivotField axis="axisRow" compact="0" outline="0" showAll="0" defaultSubtotal="0">
      <items count="3">
        <item x="0"/>
        <item x="1"/>
        <item x="2"/>
      </items>
    </pivotField>
    <pivotField axis="axisRow" compact="0" numFmtId="14" outline="0" showAll="0" defaultSubtotal="0">
      <items count="11"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2">
    <field x="1"/>
    <field x="0"/>
  </rowFields>
  <rowItems count="11">
    <i>
      <x/>
      <x/>
    </i>
    <i>
      <x v="1"/>
      <x v="2"/>
    </i>
    <i>
      <x v="2"/>
      <x v="2"/>
    </i>
    <i>
      <x v="3"/>
      <x v="2"/>
    </i>
    <i>
      <x v="4"/>
      <x v="2"/>
    </i>
    <i>
      <x v="5"/>
      <x v="2"/>
    </i>
    <i>
      <x v="6"/>
      <x v="1"/>
    </i>
    <i>
      <x v="7"/>
      <x v="2"/>
    </i>
    <i>
      <x v="8"/>
      <x v="1"/>
    </i>
    <i>
      <x v="9"/>
      <x/>
    </i>
    <i>
      <x v="10"/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BCC3D7-60E7-4012-8D1E-53865B2B9D28}" name="Tabela4" displayName="Tabela4" ref="B1:C12" totalsRowShown="0" headerRowDxfId="10">
  <autoFilter ref="B1:C12" xr:uid="{A5BCC3D7-60E7-4012-8D1E-53865B2B9D28}"/>
  <sortState xmlns:xlrd2="http://schemas.microsoft.com/office/spreadsheetml/2017/richdata2" ref="B2:C12">
    <sortCondition ref="C1:C12"/>
  </sortState>
  <tableColumns count="2">
    <tableColumn id="1" xr3:uid="{83EA3B3A-9BD2-4012-9AB7-BA505393CD92}" name="Quantidade_Usuarios_Cadastrados" dataDxfId="9"/>
    <tableColumn id="2" xr3:uid="{F5038FA3-B610-4FEA-A3CD-EF2ACAF38E9A}" name="Dat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5CF6D-30F0-499C-AF20-A5F2C1EF97F0}" name="Tabela5" displayName="Tabela5" ref="E1:F12" totalsRowShown="0" headerRowDxfId="7">
  <autoFilter ref="E1:F12" xr:uid="{4C55CF6D-30F0-499C-AF20-A5F2C1EF97F0}"/>
  <sortState xmlns:xlrd2="http://schemas.microsoft.com/office/spreadsheetml/2017/richdata2" ref="E2:F12">
    <sortCondition ref="F1:F12"/>
  </sortState>
  <tableColumns count="2">
    <tableColumn id="1" xr3:uid="{4E5B2C85-9CD0-4B27-A7CA-5C858F599E0C}" name="Quantidade_personagens_criados" dataDxfId="6"/>
    <tableColumn id="2" xr3:uid="{4BAF49E3-51A3-4DA6-981F-42FF497BDB83}" name="Data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592836-EB87-47B3-BF5D-AF1EE710125C}" name="Tabela6" displayName="Tabela6" ref="H1:I12" totalsRowShown="0" headerRowDxfId="4">
  <autoFilter ref="H1:I12" xr:uid="{72592836-EB87-47B3-BF5D-AF1EE710125C}"/>
  <sortState xmlns:xlrd2="http://schemas.microsoft.com/office/spreadsheetml/2017/richdata2" ref="H2:I12">
    <sortCondition ref="I1:I12"/>
  </sortState>
  <tableColumns count="2">
    <tableColumn id="1" xr3:uid="{8973C682-11D0-4071-BE41-5B6C5AE87B55}" name="Quantidade_Mesas_Criadas" dataDxfId="3"/>
    <tableColumn id="2" xr3:uid="{F290DDC3-97DD-43CB-80D8-56ADEC4F9AB8}" name="Data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AD4E16-A997-4BC9-BDEA-27FF06B5E0A8}" name="Tabela7" displayName="Tabela7" ref="K1:L15" totalsRowShown="0" headerRowDxfId="1">
  <autoFilter ref="K1:L15" xr:uid="{77AD4E16-A997-4BC9-BDEA-27FF06B5E0A8}"/>
  <tableColumns count="2">
    <tableColumn id="1" xr3:uid="{5AB6B179-F04C-4212-8935-616397BB2B34}" name="Quantidade_elementos_por_mesa"/>
    <tableColumn id="2" xr3:uid="{AF08D42E-DA99-4902-BBF8-4C49C2729AC7}" name="id_me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5"/>
  <sheetViews>
    <sheetView tabSelected="1" workbookViewId="0">
      <selection activeCell="AD69" sqref="AD69:AJ85"/>
    </sheetView>
  </sheetViews>
  <sheetFormatPr defaultColWidth="0" defaultRowHeight="15" zeroHeight="1"/>
  <cols>
    <col min="1" max="37" width="9.140625" style="1" customWidth="1"/>
    <col min="38" max="16384" width="0" style="1" hidden="1"/>
  </cols>
  <sheetData>
    <row r="1" spans="1:36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6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</row>
    <row r="3" spans="1:36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 spans="1:36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</row>
    <row r="5" spans="1:36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</row>
    <row r="6" spans="1:36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</row>
    <row r="7" spans="1:36" s="2" customFormat="1"/>
    <row r="8" spans="1:36"/>
    <row r="9" spans="1:36" ht="15" customHeight="1">
      <c r="N9" s="8" t="s">
        <v>1</v>
      </c>
      <c r="O9" s="9"/>
      <c r="P9" s="9"/>
      <c r="Q9" s="9"/>
      <c r="R9" s="9"/>
      <c r="S9" s="9"/>
      <c r="T9" s="10"/>
      <c r="V9" s="8" t="s">
        <v>2</v>
      </c>
      <c r="W9" s="9"/>
      <c r="X9" s="9"/>
      <c r="Y9" s="9"/>
      <c r="Z9" s="9"/>
      <c r="AA9" s="9"/>
      <c r="AB9" s="10"/>
      <c r="AD9" s="8" t="s">
        <v>3</v>
      </c>
      <c r="AE9" s="9"/>
      <c r="AF9" s="9"/>
      <c r="AG9" s="9"/>
      <c r="AH9" s="9"/>
      <c r="AI9" s="9"/>
      <c r="AJ9" s="10"/>
    </row>
    <row r="10" spans="1:36" ht="15" customHeight="1">
      <c r="N10" s="11"/>
      <c r="O10" s="12"/>
      <c r="P10" s="12"/>
      <c r="Q10" s="12"/>
      <c r="R10" s="12"/>
      <c r="S10" s="12"/>
      <c r="T10" s="13"/>
      <c r="V10" s="11"/>
      <c r="W10" s="12"/>
      <c r="X10" s="12"/>
      <c r="Y10" s="12"/>
      <c r="Z10" s="12"/>
      <c r="AA10" s="12"/>
      <c r="AB10" s="13"/>
      <c r="AD10" s="11"/>
      <c r="AE10" s="12"/>
      <c r="AF10" s="12"/>
      <c r="AG10" s="12"/>
      <c r="AH10" s="12"/>
      <c r="AI10" s="12"/>
      <c r="AJ10" s="13"/>
    </row>
    <row r="11" spans="1:36" ht="15" customHeight="1">
      <c r="N11" s="11"/>
      <c r="O11" s="12"/>
      <c r="P11" s="12"/>
      <c r="Q11" s="12"/>
      <c r="R11" s="12"/>
      <c r="S11" s="12"/>
      <c r="T11" s="13"/>
      <c r="V11" s="11"/>
      <c r="W11" s="12"/>
      <c r="X11" s="12"/>
      <c r="Y11" s="12"/>
      <c r="Z11" s="12"/>
      <c r="AA11" s="12"/>
      <c r="AB11" s="13"/>
      <c r="AD11" s="11"/>
      <c r="AE11" s="12"/>
      <c r="AF11" s="12"/>
      <c r="AG11" s="12"/>
      <c r="AH11" s="12"/>
      <c r="AI11" s="12"/>
      <c r="AJ11" s="13"/>
    </row>
    <row r="12" spans="1:36" ht="15" customHeight="1">
      <c r="N12" s="23">
        <f>'Valores Capturados'!N36</f>
        <v>99</v>
      </c>
      <c r="O12" s="24"/>
      <c r="P12" s="24"/>
      <c r="Q12" s="24"/>
      <c r="R12" s="24"/>
      <c r="S12" s="24"/>
      <c r="T12" s="25"/>
      <c r="V12" s="23">
        <f>'Valores Capturados'!N39</f>
        <v>10</v>
      </c>
      <c r="W12" s="24"/>
      <c r="X12" s="24"/>
      <c r="Y12" s="24"/>
      <c r="Z12" s="24"/>
      <c r="AA12" s="24"/>
      <c r="AB12" s="25"/>
      <c r="AD12" s="32">
        <f>'Valores Capturados'!N42</f>
        <v>10</v>
      </c>
      <c r="AE12" s="33"/>
      <c r="AF12" s="33"/>
      <c r="AG12" s="33"/>
      <c r="AH12" s="33"/>
      <c r="AI12" s="33"/>
      <c r="AJ12" s="34"/>
    </row>
    <row r="13" spans="1:36" ht="15" customHeight="1">
      <c r="N13" s="26"/>
      <c r="O13" s="27"/>
      <c r="P13" s="27"/>
      <c r="Q13" s="27"/>
      <c r="R13" s="27"/>
      <c r="S13" s="27"/>
      <c r="T13" s="28"/>
      <c r="V13" s="26"/>
      <c r="W13" s="27"/>
      <c r="X13" s="27"/>
      <c r="Y13" s="27"/>
      <c r="Z13" s="27"/>
      <c r="AA13" s="27"/>
      <c r="AB13" s="28"/>
      <c r="AD13" s="35"/>
      <c r="AE13" s="36"/>
      <c r="AF13" s="36"/>
      <c r="AG13" s="36"/>
      <c r="AH13" s="36"/>
      <c r="AI13" s="36"/>
      <c r="AJ13" s="37"/>
    </row>
    <row r="14" spans="1:36" ht="15" customHeight="1">
      <c r="N14" s="26"/>
      <c r="O14" s="27"/>
      <c r="P14" s="27"/>
      <c r="Q14" s="27"/>
      <c r="R14" s="27"/>
      <c r="S14" s="27"/>
      <c r="T14" s="28"/>
      <c r="V14" s="26"/>
      <c r="W14" s="27"/>
      <c r="X14" s="27"/>
      <c r="Y14" s="27"/>
      <c r="Z14" s="27"/>
      <c r="AA14" s="27"/>
      <c r="AB14" s="28"/>
      <c r="AD14" s="35"/>
      <c r="AE14" s="36"/>
      <c r="AF14" s="36"/>
      <c r="AG14" s="36"/>
      <c r="AH14" s="36"/>
      <c r="AI14" s="36"/>
      <c r="AJ14" s="37"/>
    </row>
    <row r="15" spans="1:36" ht="15" customHeight="1">
      <c r="N15" s="26"/>
      <c r="O15" s="27"/>
      <c r="P15" s="27"/>
      <c r="Q15" s="27"/>
      <c r="R15" s="27"/>
      <c r="S15" s="27"/>
      <c r="T15" s="28"/>
      <c r="V15" s="26"/>
      <c r="W15" s="27"/>
      <c r="X15" s="27"/>
      <c r="Y15" s="27"/>
      <c r="Z15" s="27"/>
      <c r="AA15" s="27"/>
      <c r="AB15" s="28"/>
      <c r="AD15" s="35"/>
      <c r="AE15" s="36"/>
      <c r="AF15" s="36"/>
      <c r="AG15" s="36"/>
      <c r="AH15" s="36"/>
      <c r="AI15" s="36"/>
      <c r="AJ15" s="37"/>
    </row>
    <row r="16" spans="1:36" ht="15" customHeight="1">
      <c r="N16" s="26"/>
      <c r="O16" s="27"/>
      <c r="P16" s="27"/>
      <c r="Q16" s="27"/>
      <c r="R16" s="27"/>
      <c r="S16" s="27"/>
      <c r="T16" s="28"/>
      <c r="V16" s="26"/>
      <c r="W16" s="27"/>
      <c r="X16" s="27"/>
      <c r="Y16" s="27"/>
      <c r="Z16" s="27"/>
      <c r="AA16" s="27"/>
      <c r="AB16" s="28"/>
      <c r="AD16" s="35"/>
      <c r="AE16" s="36"/>
      <c r="AF16" s="36"/>
      <c r="AG16" s="36"/>
      <c r="AH16" s="36"/>
      <c r="AI16" s="36"/>
      <c r="AJ16" s="37"/>
    </row>
    <row r="17" spans="14:36" ht="15" customHeight="1">
      <c r="N17" s="26"/>
      <c r="O17" s="27"/>
      <c r="P17" s="27"/>
      <c r="Q17" s="27"/>
      <c r="R17" s="27"/>
      <c r="S17" s="27"/>
      <c r="T17" s="28"/>
      <c r="V17" s="26"/>
      <c r="W17" s="27"/>
      <c r="X17" s="27"/>
      <c r="Y17" s="27"/>
      <c r="Z17" s="27"/>
      <c r="AA17" s="27"/>
      <c r="AB17" s="28"/>
      <c r="AD17" s="35"/>
      <c r="AE17" s="36"/>
      <c r="AF17" s="36"/>
      <c r="AG17" s="36"/>
      <c r="AH17" s="36"/>
      <c r="AI17" s="36"/>
      <c r="AJ17" s="37"/>
    </row>
    <row r="18" spans="14:36" ht="15" customHeight="1">
      <c r="N18" s="26"/>
      <c r="O18" s="27"/>
      <c r="P18" s="27"/>
      <c r="Q18" s="27"/>
      <c r="R18" s="27"/>
      <c r="S18" s="27"/>
      <c r="T18" s="28"/>
      <c r="V18" s="26"/>
      <c r="W18" s="27"/>
      <c r="X18" s="27"/>
      <c r="Y18" s="27"/>
      <c r="Z18" s="27"/>
      <c r="AA18" s="27"/>
      <c r="AB18" s="28"/>
      <c r="AD18" s="35"/>
      <c r="AE18" s="36"/>
      <c r="AF18" s="36"/>
      <c r="AG18" s="36"/>
      <c r="AH18" s="36"/>
      <c r="AI18" s="36"/>
      <c r="AJ18" s="37"/>
    </row>
    <row r="19" spans="14:36" ht="15" customHeight="1">
      <c r="N19" s="26"/>
      <c r="O19" s="27"/>
      <c r="P19" s="27"/>
      <c r="Q19" s="27"/>
      <c r="R19" s="27"/>
      <c r="S19" s="27"/>
      <c r="T19" s="28"/>
      <c r="V19" s="26"/>
      <c r="W19" s="27"/>
      <c r="X19" s="27"/>
      <c r="Y19" s="27"/>
      <c r="Z19" s="27"/>
      <c r="AA19" s="27"/>
      <c r="AB19" s="28"/>
      <c r="AD19" s="35"/>
      <c r="AE19" s="36"/>
      <c r="AF19" s="36"/>
      <c r="AG19" s="36"/>
      <c r="AH19" s="36"/>
      <c r="AI19" s="36"/>
      <c r="AJ19" s="37"/>
    </row>
    <row r="20" spans="14:36" ht="15" customHeight="1">
      <c r="N20" s="26"/>
      <c r="O20" s="27"/>
      <c r="P20" s="27"/>
      <c r="Q20" s="27"/>
      <c r="R20" s="27"/>
      <c r="S20" s="27"/>
      <c r="T20" s="28"/>
      <c r="V20" s="26"/>
      <c r="W20" s="27"/>
      <c r="X20" s="27"/>
      <c r="Y20" s="27"/>
      <c r="Z20" s="27"/>
      <c r="AA20" s="27"/>
      <c r="AB20" s="28"/>
      <c r="AD20" s="35"/>
      <c r="AE20" s="36"/>
      <c r="AF20" s="36"/>
      <c r="AG20" s="36"/>
      <c r="AH20" s="36"/>
      <c r="AI20" s="36"/>
      <c r="AJ20" s="37"/>
    </row>
    <row r="21" spans="14:36" ht="15" customHeight="1">
      <c r="N21" s="26"/>
      <c r="O21" s="27"/>
      <c r="P21" s="27"/>
      <c r="Q21" s="27"/>
      <c r="R21" s="27"/>
      <c r="S21" s="27"/>
      <c r="T21" s="28"/>
      <c r="V21" s="26"/>
      <c r="W21" s="27"/>
      <c r="X21" s="27"/>
      <c r="Y21" s="27"/>
      <c r="Z21" s="27"/>
      <c r="AA21" s="27"/>
      <c r="AB21" s="28"/>
      <c r="AD21" s="35"/>
      <c r="AE21" s="36"/>
      <c r="AF21" s="36"/>
      <c r="AG21" s="36"/>
      <c r="AH21" s="36"/>
      <c r="AI21" s="36"/>
      <c r="AJ21" s="37"/>
    </row>
    <row r="22" spans="14:36" ht="15" customHeight="1">
      <c r="N22" s="26"/>
      <c r="O22" s="27"/>
      <c r="P22" s="27"/>
      <c r="Q22" s="27"/>
      <c r="R22" s="27"/>
      <c r="S22" s="27"/>
      <c r="T22" s="28"/>
      <c r="V22" s="26"/>
      <c r="W22" s="27"/>
      <c r="X22" s="27"/>
      <c r="Y22" s="27"/>
      <c r="Z22" s="27"/>
      <c r="AA22" s="27"/>
      <c r="AB22" s="28"/>
      <c r="AD22" s="35"/>
      <c r="AE22" s="36"/>
      <c r="AF22" s="36"/>
      <c r="AG22" s="36"/>
      <c r="AH22" s="36"/>
      <c r="AI22" s="36"/>
      <c r="AJ22" s="37"/>
    </row>
    <row r="23" spans="14:36" ht="15" customHeight="1">
      <c r="N23" s="26"/>
      <c r="O23" s="27"/>
      <c r="P23" s="27"/>
      <c r="Q23" s="27"/>
      <c r="R23" s="27"/>
      <c r="S23" s="27"/>
      <c r="T23" s="28"/>
      <c r="V23" s="26"/>
      <c r="W23" s="27"/>
      <c r="X23" s="27"/>
      <c r="Y23" s="27"/>
      <c r="Z23" s="27"/>
      <c r="AA23" s="27"/>
      <c r="AB23" s="28"/>
      <c r="AD23" s="35"/>
      <c r="AE23" s="36"/>
      <c r="AF23" s="36"/>
      <c r="AG23" s="36"/>
      <c r="AH23" s="36"/>
      <c r="AI23" s="36"/>
      <c r="AJ23" s="37"/>
    </row>
    <row r="24" spans="14:36" ht="15" customHeight="1">
      <c r="N24" s="26"/>
      <c r="O24" s="27"/>
      <c r="P24" s="27"/>
      <c r="Q24" s="27"/>
      <c r="R24" s="27"/>
      <c r="S24" s="27"/>
      <c r="T24" s="28"/>
      <c r="V24" s="26"/>
      <c r="W24" s="27"/>
      <c r="X24" s="27"/>
      <c r="Y24" s="27"/>
      <c r="Z24" s="27"/>
      <c r="AA24" s="27"/>
      <c r="AB24" s="28"/>
      <c r="AD24" s="35"/>
      <c r="AE24" s="36"/>
      <c r="AF24" s="36"/>
      <c r="AG24" s="36"/>
      <c r="AH24" s="36"/>
      <c r="AI24" s="36"/>
      <c r="AJ24" s="37"/>
    </row>
    <row r="25" spans="14:36" ht="15" customHeight="1">
      <c r="N25" s="26"/>
      <c r="O25" s="27"/>
      <c r="P25" s="27"/>
      <c r="Q25" s="27"/>
      <c r="R25" s="27"/>
      <c r="S25" s="27"/>
      <c r="T25" s="28"/>
      <c r="V25" s="26"/>
      <c r="W25" s="27"/>
      <c r="X25" s="27"/>
      <c r="Y25" s="27"/>
      <c r="Z25" s="27"/>
      <c r="AA25" s="27"/>
      <c r="AB25" s="28"/>
      <c r="AD25" s="35"/>
      <c r="AE25" s="36"/>
      <c r="AF25" s="36"/>
      <c r="AG25" s="36"/>
      <c r="AH25" s="36"/>
      <c r="AI25" s="36"/>
      <c r="AJ25" s="37"/>
    </row>
    <row r="26" spans="14:36" ht="15" customHeight="1">
      <c r="N26" s="26"/>
      <c r="O26" s="27"/>
      <c r="P26" s="27"/>
      <c r="Q26" s="27"/>
      <c r="R26" s="27"/>
      <c r="S26" s="27"/>
      <c r="T26" s="28"/>
      <c r="V26" s="26"/>
      <c r="W26" s="27"/>
      <c r="X26" s="27"/>
      <c r="Y26" s="27"/>
      <c r="Z26" s="27"/>
      <c r="AA26" s="27"/>
      <c r="AB26" s="28"/>
      <c r="AD26" s="35"/>
      <c r="AE26" s="36"/>
      <c r="AF26" s="36"/>
      <c r="AG26" s="36"/>
      <c r="AH26" s="36"/>
      <c r="AI26" s="36"/>
      <c r="AJ26" s="37"/>
    </row>
    <row r="27" spans="14:36" ht="15" customHeight="1">
      <c r="N27" s="26"/>
      <c r="O27" s="27"/>
      <c r="P27" s="27"/>
      <c r="Q27" s="27"/>
      <c r="R27" s="27"/>
      <c r="S27" s="27"/>
      <c r="T27" s="28"/>
      <c r="V27" s="26"/>
      <c r="W27" s="27"/>
      <c r="X27" s="27"/>
      <c r="Y27" s="27"/>
      <c r="Z27" s="27"/>
      <c r="AA27" s="27"/>
      <c r="AB27" s="28"/>
      <c r="AD27" s="35"/>
      <c r="AE27" s="36"/>
      <c r="AF27" s="36"/>
      <c r="AG27" s="36"/>
      <c r="AH27" s="36"/>
      <c r="AI27" s="36"/>
      <c r="AJ27" s="37"/>
    </row>
    <row r="28" spans="14:36" ht="15" customHeight="1">
      <c r="N28" s="29"/>
      <c r="O28" s="30"/>
      <c r="P28" s="30"/>
      <c r="Q28" s="30"/>
      <c r="R28" s="30"/>
      <c r="S28" s="30"/>
      <c r="T28" s="31"/>
      <c r="V28" s="29"/>
      <c r="W28" s="30"/>
      <c r="X28" s="30"/>
      <c r="Y28" s="30"/>
      <c r="Z28" s="30"/>
      <c r="AA28" s="30"/>
      <c r="AB28" s="31"/>
      <c r="AD28" s="38"/>
      <c r="AE28" s="39"/>
      <c r="AF28" s="39"/>
      <c r="AG28" s="39"/>
      <c r="AH28" s="39"/>
      <c r="AI28" s="39"/>
      <c r="AJ28" s="40"/>
    </row>
    <row r="29" spans="14:36"/>
    <row r="30" spans="14:36"/>
    <row r="31" spans="14:36"/>
    <row r="32" spans="14:36"/>
    <row r="33" spans="14:36"/>
    <row r="34" spans="14:36"/>
    <row r="35" spans="14:36"/>
    <row r="36" spans="14:36"/>
    <row r="37" spans="14:36"/>
    <row r="38" spans="14:36">
      <c r="N38" s="8" t="s">
        <v>4</v>
      </c>
      <c r="O38" s="9"/>
      <c r="P38" s="9"/>
      <c r="Q38" s="9"/>
      <c r="R38" s="9"/>
      <c r="S38" s="9"/>
      <c r="T38" s="10"/>
      <c r="V38" s="8" t="s">
        <v>2</v>
      </c>
      <c r="W38" s="9"/>
      <c r="X38" s="9"/>
      <c r="Y38" s="9"/>
      <c r="Z38" s="9"/>
      <c r="AA38" s="9"/>
      <c r="AB38" s="10"/>
      <c r="AD38" s="41" t="s">
        <v>5</v>
      </c>
      <c r="AE38" s="9"/>
      <c r="AF38" s="9"/>
      <c r="AG38" s="9"/>
      <c r="AH38" s="9"/>
      <c r="AI38" s="9"/>
      <c r="AJ38" s="10"/>
    </row>
    <row r="39" spans="14:36" ht="15" customHeight="1">
      <c r="N39" s="11"/>
      <c r="O39" s="12"/>
      <c r="P39" s="12"/>
      <c r="Q39" s="12"/>
      <c r="R39" s="12"/>
      <c r="S39" s="12"/>
      <c r="T39" s="13"/>
      <c r="V39" s="11"/>
      <c r="W39" s="12"/>
      <c r="X39" s="12"/>
      <c r="Y39" s="12"/>
      <c r="Z39" s="12"/>
      <c r="AA39" s="12"/>
      <c r="AB39" s="13"/>
      <c r="AD39" s="11"/>
      <c r="AE39" s="12"/>
      <c r="AF39" s="12"/>
      <c r="AG39" s="12"/>
      <c r="AH39" s="12"/>
      <c r="AI39" s="12"/>
      <c r="AJ39" s="13"/>
    </row>
    <row r="40" spans="14:36">
      <c r="N40" s="11"/>
      <c r="O40" s="12"/>
      <c r="P40" s="12"/>
      <c r="Q40" s="12"/>
      <c r="R40" s="12"/>
      <c r="S40" s="12"/>
      <c r="T40" s="13"/>
      <c r="V40" s="11"/>
      <c r="W40" s="12"/>
      <c r="X40" s="12"/>
      <c r="Y40" s="12"/>
      <c r="Z40" s="12"/>
      <c r="AA40" s="12"/>
      <c r="AB40" s="13"/>
      <c r="AD40" s="11"/>
      <c r="AE40" s="12"/>
      <c r="AF40" s="12"/>
      <c r="AG40" s="12"/>
      <c r="AH40" s="12"/>
      <c r="AI40" s="12"/>
      <c r="AJ40" s="13"/>
    </row>
    <row r="41" spans="14:36">
      <c r="N41" s="23">
        <f>'Valores Capturados'!P36</f>
        <v>150</v>
      </c>
      <c r="O41" s="24"/>
      <c r="P41" s="24"/>
      <c r="Q41" s="24"/>
      <c r="R41" s="24"/>
      <c r="S41" s="24"/>
      <c r="T41" s="25"/>
      <c r="V41" s="23">
        <f>'Valores Capturados'!P39</f>
        <v>15</v>
      </c>
      <c r="W41" s="24"/>
      <c r="X41" s="24"/>
      <c r="Y41" s="24"/>
      <c r="Z41" s="24"/>
      <c r="AA41" s="24"/>
      <c r="AB41" s="25"/>
      <c r="AD41" s="43">
        <f>'Valores Capturados'!P42</f>
        <v>18</v>
      </c>
      <c r="AE41" s="44"/>
      <c r="AF41" s="44"/>
      <c r="AG41" s="44"/>
      <c r="AH41" s="44"/>
      <c r="AI41" s="44"/>
      <c r="AJ41" s="45"/>
    </row>
    <row r="42" spans="14:36">
      <c r="N42" s="26"/>
      <c r="O42" s="27"/>
      <c r="P42" s="27"/>
      <c r="Q42" s="27"/>
      <c r="R42" s="27"/>
      <c r="S42" s="27"/>
      <c r="T42" s="28"/>
      <c r="V42" s="26"/>
      <c r="W42" s="27"/>
      <c r="X42" s="27"/>
      <c r="Y42" s="27"/>
      <c r="Z42" s="27"/>
      <c r="AA42" s="27"/>
      <c r="AB42" s="28"/>
      <c r="AD42" s="46"/>
      <c r="AE42" s="47"/>
      <c r="AF42" s="47"/>
      <c r="AG42" s="47"/>
      <c r="AH42" s="47"/>
      <c r="AI42" s="47"/>
      <c r="AJ42" s="48"/>
    </row>
    <row r="43" spans="14:36">
      <c r="N43" s="26"/>
      <c r="O43" s="27"/>
      <c r="P43" s="27"/>
      <c r="Q43" s="27"/>
      <c r="R43" s="27"/>
      <c r="S43" s="27"/>
      <c r="T43" s="28"/>
      <c r="V43" s="26"/>
      <c r="W43" s="27"/>
      <c r="X43" s="27"/>
      <c r="Y43" s="27"/>
      <c r="Z43" s="27"/>
      <c r="AA43" s="27"/>
      <c r="AB43" s="28"/>
      <c r="AD43" s="46"/>
      <c r="AE43" s="47"/>
      <c r="AF43" s="47"/>
      <c r="AG43" s="47"/>
      <c r="AH43" s="47"/>
      <c r="AI43" s="47"/>
      <c r="AJ43" s="48"/>
    </row>
    <row r="44" spans="14:36">
      <c r="N44" s="26"/>
      <c r="O44" s="27"/>
      <c r="P44" s="27"/>
      <c r="Q44" s="27"/>
      <c r="R44" s="27"/>
      <c r="S44" s="27"/>
      <c r="T44" s="28"/>
      <c r="V44" s="26"/>
      <c r="W44" s="27"/>
      <c r="X44" s="27"/>
      <c r="Y44" s="27"/>
      <c r="Z44" s="27"/>
      <c r="AA44" s="27"/>
      <c r="AB44" s="28"/>
      <c r="AD44" s="46"/>
      <c r="AE44" s="47"/>
      <c r="AF44" s="47"/>
      <c r="AG44" s="47"/>
      <c r="AH44" s="47"/>
      <c r="AI44" s="47"/>
      <c r="AJ44" s="48"/>
    </row>
    <row r="45" spans="14:36">
      <c r="N45" s="26"/>
      <c r="O45" s="27"/>
      <c r="P45" s="27"/>
      <c r="Q45" s="27"/>
      <c r="R45" s="27"/>
      <c r="S45" s="27"/>
      <c r="T45" s="28"/>
      <c r="V45" s="26"/>
      <c r="W45" s="27"/>
      <c r="X45" s="27"/>
      <c r="Y45" s="27"/>
      <c r="Z45" s="27"/>
      <c r="AA45" s="27"/>
      <c r="AB45" s="28"/>
      <c r="AD45" s="46"/>
      <c r="AE45" s="47"/>
      <c r="AF45" s="47"/>
      <c r="AG45" s="47"/>
      <c r="AH45" s="47"/>
      <c r="AI45" s="47"/>
      <c r="AJ45" s="48"/>
    </row>
    <row r="46" spans="14:36">
      <c r="N46" s="26"/>
      <c r="O46" s="27"/>
      <c r="P46" s="27"/>
      <c r="Q46" s="27"/>
      <c r="R46" s="27"/>
      <c r="S46" s="27"/>
      <c r="T46" s="28"/>
      <c r="V46" s="26"/>
      <c r="W46" s="27"/>
      <c r="X46" s="27"/>
      <c r="Y46" s="27"/>
      <c r="Z46" s="27"/>
      <c r="AA46" s="27"/>
      <c r="AB46" s="28"/>
      <c r="AD46" s="46"/>
      <c r="AE46" s="47"/>
      <c r="AF46" s="47"/>
      <c r="AG46" s="47"/>
      <c r="AH46" s="47"/>
      <c r="AI46" s="47"/>
      <c r="AJ46" s="48"/>
    </row>
    <row r="47" spans="14:36">
      <c r="N47" s="26"/>
      <c r="O47" s="27"/>
      <c r="P47" s="27"/>
      <c r="Q47" s="27"/>
      <c r="R47" s="27"/>
      <c r="S47" s="27"/>
      <c r="T47" s="28"/>
      <c r="V47" s="26"/>
      <c r="W47" s="27"/>
      <c r="X47" s="27"/>
      <c r="Y47" s="27"/>
      <c r="Z47" s="27"/>
      <c r="AA47" s="27"/>
      <c r="AB47" s="28"/>
      <c r="AD47" s="46"/>
      <c r="AE47" s="47"/>
      <c r="AF47" s="47"/>
      <c r="AG47" s="47"/>
      <c r="AH47" s="47"/>
      <c r="AI47" s="47"/>
      <c r="AJ47" s="48"/>
    </row>
    <row r="48" spans="14:36">
      <c r="N48" s="26"/>
      <c r="O48" s="27"/>
      <c r="P48" s="27"/>
      <c r="Q48" s="27"/>
      <c r="R48" s="27"/>
      <c r="S48" s="27"/>
      <c r="T48" s="28"/>
      <c r="V48" s="26"/>
      <c r="W48" s="27"/>
      <c r="X48" s="27"/>
      <c r="Y48" s="27"/>
      <c r="Z48" s="27"/>
      <c r="AA48" s="27"/>
      <c r="AB48" s="28"/>
      <c r="AD48" s="46"/>
      <c r="AE48" s="47"/>
      <c r="AF48" s="47"/>
      <c r="AG48" s="47"/>
      <c r="AH48" s="47"/>
      <c r="AI48" s="47"/>
      <c r="AJ48" s="48"/>
    </row>
    <row r="49" spans="14:36">
      <c r="N49" s="26"/>
      <c r="O49" s="27"/>
      <c r="P49" s="27"/>
      <c r="Q49" s="27"/>
      <c r="R49" s="27"/>
      <c r="S49" s="27"/>
      <c r="T49" s="28"/>
      <c r="V49" s="26"/>
      <c r="W49" s="27"/>
      <c r="X49" s="27"/>
      <c r="Y49" s="27"/>
      <c r="Z49" s="27"/>
      <c r="AA49" s="27"/>
      <c r="AB49" s="28"/>
      <c r="AD49" s="46"/>
      <c r="AE49" s="47"/>
      <c r="AF49" s="47"/>
      <c r="AG49" s="47"/>
      <c r="AH49" s="47"/>
      <c r="AI49" s="47"/>
      <c r="AJ49" s="48"/>
    </row>
    <row r="50" spans="14:36">
      <c r="N50" s="26"/>
      <c r="O50" s="27"/>
      <c r="P50" s="27"/>
      <c r="Q50" s="27"/>
      <c r="R50" s="27"/>
      <c r="S50" s="27"/>
      <c r="T50" s="28"/>
      <c r="V50" s="26"/>
      <c r="W50" s="27"/>
      <c r="X50" s="27"/>
      <c r="Y50" s="27"/>
      <c r="Z50" s="27"/>
      <c r="AA50" s="27"/>
      <c r="AB50" s="28"/>
      <c r="AD50" s="46"/>
      <c r="AE50" s="47"/>
      <c r="AF50" s="47"/>
      <c r="AG50" s="47"/>
      <c r="AH50" s="47"/>
      <c r="AI50" s="47"/>
      <c r="AJ50" s="48"/>
    </row>
    <row r="51" spans="14:36">
      <c r="N51" s="26"/>
      <c r="O51" s="27"/>
      <c r="P51" s="27"/>
      <c r="Q51" s="27"/>
      <c r="R51" s="27"/>
      <c r="S51" s="27"/>
      <c r="T51" s="28"/>
      <c r="V51" s="26"/>
      <c r="W51" s="27"/>
      <c r="X51" s="27"/>
      <c r="Y51" s="27"/>
      <c r="Z51" s="27"/>
      <c r="AA51" s="27"/>
      <c r="AB51" s="28"/>
      <c r="AD51" s="46"/>
      <c r="AE51" s="47"/>
      <c r="AF51" s="47"/>
      <c r="AG51" s="47"/>
      <c r="AH51" s="47"/>
      <c r="AI51" s="47"/>
      <c r="AJ51" s="48"/>
    </row>
    <row r="52" spans="14:36">
      <c r="N52" s="26"/>
      <c r="O52" s="27"/>
      <c r="P52" s="27"/>
      <c r="Q52" s="27"/>
      <c r="R52" s="27"/>
      <c r="S52" s="27"/>
      <c r="T52" s="28"/>
      <c r="V52" s="26"/>
      <c r="W52" s="27"/>
      <c r="X52" s="27"/>
      <c r="Y52" s="27"/>
      <c r="Z52" s="27"/>
      <c r="AA52" s="27"/>
      <c r="AB52" s="28"/>
      <c r="AD52" s="46"/>
      <c r="AE52" s="47"/>
      <c r="AF52" s="47"/>
      <c r="AG52" s="47"/>
      <c r="AH52" s="47"/>
      <c r="AI52" s="47"/>
      <c r="AJ52" s="48"/>
    </row>
    <row r="53" spans="14:36">
      <c r="N53" s="26"/>
      <c r="O53" s="27"/>
      <c r="P53" s="27"/>
      <c r="Q53" s="27"/>
      <c r="R53" s="27"/>
      <c r="S53" s="27"/>
      <c r="T53" s="28"/>
      <c r="V53" s="26"/>
      <c r="W53" s="27"/>
      <c r="X53" s="27"/>
      <c r="Y53" s="27"/>
      <c r="Z53" s="27"/>
      <c r="AA53" s="27"/>
      <c r="AB53" s="28"/>
      <c r="AD53" s="46"/>
      <c r="AE53" s="47"/>
      <c r="AF53" s="47"/>
      <c r="AG53" s="47"/>
      <c r="AH53" s="47"/>
      <c r="AI53" s="47"/>
      <c r="AJ53" s="48"/>
    </row>
    <row r="54" spans="14:36">
      <c r="N54" s="26"/>
      <c r="O54" s="27"/>
      <c r="P54" s="27"/>
      <c r="Q54" s="27"/>
      <c r="R54" s="27"/>
      <c r="S54" s="27"/>
      <c r="T54" s="28"/>
      <c r="V54" s="26"/>
      <c r="W54" s="27"/>
      <c r="X54" s="27"/>
      <c r="Y54" s="27"/>
      <c r="Z54" s="27"/>
      <c r="AA54" s="27"/>
      <c r="AB54" s="28"/>
      <c r="AD54" s="46"/>
      <c r="AE54" s="47"/>
      <c r="AF54" s="47"/>
      <c r="AG54" s="47"/>
      <c r="AH54" s="47"/>
      <c r="AI54" s="47"/>
      <c r="AJ54" s="48"/>
    </row>
    <row r="55" spans="14:36">
      <c r="N55" s="26"/>
      <c r="O55" s="27"/>
      <c r="P55" s="27"/>
      <c r="Q55" s="27"/>
      <c r="R55" s="27"/>
      <c r="S55" s="27"/>
      <c r="T55" s="28"/>
      <c r="V55" s="26"/>
      <c r="W55" s="27"/>
      <c r="X55" s="27"/>
      <c r="Y55" s="27"/>
      <c r="Z55" s="27"/>
      <c r="AA55" s="27"/>
      <c r="AB55" s="28"/>
      <c r="AD55" s="46"/>
      <c r="AE55" s="47"/>
      <c r="AF55" s="47"/>
      <c r="AG55" s="47"/>
      <c r="AH55" s="47"/>
      <c r="AI55" s="47"/>
      <c r="AJ55" s="48"/>
    </row>
    <row r="56" spans="14:36">
      <c r="N56" s="26"/>
      <c r="O56" s="27"/>
      <c r="P56" s="27"/>
      <c r="Q56" s="27"/>
      <c r="R56" s="27"/>
      <c r="S56" s="27"/>
      <c r="T56" s="28"/>
      <c r="V56" s="26"/>
      <c r="W56" s="27"/>
      <c r="X56" s="27"/>
      <c r="Y56" s="27"/>
      <c r="Z56" s="27"/>
      <c r="AA56" s="27"/>
      <c r="AB56" s="28"/>
      <c r="AD56" s="46"/>
      <c r="AE56" s="47"/>
      <c r="AF56" s="47"/>
      <c r="AG56" s="47"/>
      <c r="AH56" s="47"/>
      <c r="AI56" s="47"/>
      <c r="AJ56" s="48"/>
    </row>
    <row r="57" spans="14:36">
      <c r="N57" s="29"/>
      <c r="O57" s="30"/>
      <c r="P57" s="30"/>
      <c r="Q57" s="30"/>
      <c r="R57" s="30"/>
      <c r="S57" s="30"/>
      <c r="T57" s="31"/>
      <c r="V57" s="29"/>
      <c r="W57" s="30"/>
      <c r="X57" s="30"/>
      <c r="Y57" s="30"/>
      <c r="Z57" s="30"/>
      <c r="AA57" s="30"/>
      <c r="AB57" s="31"/>
      <c r="AD57" s="49"/>
      <c r="AE57" s="50"/>
      <c r="AF57" s="50"/>
      <c r="AG57" s="50"/>
      <c r="AH57" s="50"/>
      <c r="AI57" s="50"/>
      <c r="AJ57" s="51"/>
    </row>
    <row r="58" spans="14:36"/>
    <row r="59" spans="14:36"/>
    <row r="60" spans="14:36"/>
    <row r="61" spans="14:36"/>
    <row r="62" spans="14:36"/>
    <row r="63" spans="14:36"/>
    <row r="64" spans="14:36"/>
    <row r="65" spans="14:36"/>
    <row r="66" spans="14:36">
      <c r="N66" s="8" t="s">
        <v>6</v>
      </c>
      <c r="O66" s="9"/>
      <c r="P66" s="9"/>
      <c r="Q66" s="9"/>
      <c r="R66" s="9"/>
      <c r="S66" s="9"/>
      <c r="T66" s="10"/>
      <c r="V66" s="8" t="s">
        <v>2</v>
      </c>
      <c r="W66" s="9"/>
      <c r="X66" s="9"/>
      <c r="Y66" s="9"/>
      <c r="Z66" s="9"/>
      <c r="AA66" s="9"/>
      <c r="AB66" s="10"/>
      <c r="AD66" s="8" t="s">
        <v>7</v>
      </c>
      <c r="AE66" s="9"/>
      <c r="AF66" s="9"/>
      <c r="AG66" s="9"/>
      <c r="AH66" s="9"/>
      <c r="AI66" s="9"/>
      <c r="AJ66" s="10"/>
    </row>
    <row r="67" spans="14:36">
      <c r="N67" s="11"/>
      <c r="O67" s="12"/>
      <c r="P67" s="12"/>
      <c r="Q67" s="12"/>
      <c r="R67" s="12"/>
      <c r="S67" s="12"/>
      <c r="T67" s="13"/>
      <c r="V67" s="11"/>
      <c r="W67" s="12"/>
      <c r="X67" s="12"/>
      <c r="Y67" s="12"/>
      <c r="Z67" s="12"/>
      <c r="AA67" s="12"/>
      <c r="AB67" s="13"/>
      <c r="AD67" s="11"/>
      <c r="AE67" s="12"/>
      <c r="AF67" s="12"/>
      <c r="AG67" s="12"/>
      <c r="AH67" s="12"/>
      <c r="AI67" s="12"/>
      <c r="AJ67" s="13"/>
    </row>
    <row r="68" spans="14:36" ht="15" customHeight="1">
      <c r="N68" s="11"/>
      <c r="O68" s="12"/>
      <c r="P68" s="12"/>
      <c r="Q68" s="12"/>
      <c r="R68" s="12"/>
      <c r="S68" s="12"/>
      <c r="T68" s="13"/>
      <c r="V68" s="11"/>
      <c r="W68" s="12"/>
      <c r="X68" s="12"/>
      <c r="Y68" s="12"/>
      <c r="Z68" s="12"/>
      <c r="AA68" s="12"/>
      <c r="AB68" s="13"/>
      <c r="AD68" s="11"/>
      <c r="AE68" s="12"/>
      <c r="AF68" s="12"/>
      <c r="AG68" s="12"/>
      <c r="AH68" s="12"/>
      <c r="AI68" s="12"/>
      <c r="AJ68" s="13"/>
    </row>
    <row r="69" spans="14:36">
      <c r="N69" s="23">
        <f>'Valores Capturados'!R36</f>
        <v>14</v>
      </c>
      <c r="O69" s="24"/>
      <c r="P69" s="24"/>
      <c r="Q69" s="24"/>
      <c r="R69" s="24"/>
      <c r="S69" s="24"/>
      <c r="T69" s="25"/>
      <c r="V69" s="23">
        <f>'Valores Capturados'!R39</f>
        <v>1</v>
      </c>
      <c r="W69" s="24"/>
      <c r="X69" s="24"/>
      <c r="Y69" s="24"/>
      <c r="Z69" s="24"/>
      <c r="AA69" s="24"/>
      <c r="AB69" s="25"/>
      <c r="AD69" s="14">
        <f>'Valores Capturados'!R42</f>
        <v>0</v>
      </c>
      <c r="AE69" s="15"/>
      <c r="AF69" s="15"/>
      <c r="AG69" s="15"/>
      <c r="AH69" s="15"/>
      <c r="AI69" s="15"/>
      <c r="AJ69" s="16"/>
    </row>
    <row r="70" spans="14:36">
      <c r="N70" s="26"/>
      <c r="O70" s="27"/>
      <c r="P70" s="27"/>
      <c r="Q70" s="27"/>
      <c r="R70" s="27"/>
      <c r="S70" s="27"/>
      <c r="T70" s="28"/>
      <c r="V70" s="26"/>
      <c r="W70" s="27"/>
      <c r="X70" s="27"/>
      <c r="Y70" s="27"/>
      <c r="Z70" s="27"/>
      <c r="AA70" s="27"/>
      <c r="AB70" s="28"/>
      <c r="AD70" s="17"/>
      <c r="AE70" s="18"/>
      <c r="AF70" s="18"/>
      <c r="AG70" s="18"/>
      <c r="AH70" s="18"/>
      <c r="AI70" s="18"/>
      <c r="AJ70" s="19"/>
    </row>
    <row r="71" spans="14:36">
      <c r="N71" s="26"/>
      <c r="O71" s="27"/>
      <c r="P71" s="27"/>
      <c r="Q71" s="27"/>
      <c r="R71" s="27"/>
      <c r="S71" s="27"/>
      <c r="T71" s="28"/>
      <c r="V71" s="26"/>
      <c r="W71" s="27"/>
      <c r="X71" s="27"/>
      <c r="Y71" s="27"/>
      <c r="Z71" s="27"/>
      <c r="AA71" s="27"/>
      <c r="AB71" s="28"/>
      <c r="AD71" s="17"/>
      <c r="AE71" s="18"/>
      <c r="AF71" s="18"/>
      <c r="AG71" s="18"/>
      <c r="AH71" s="18"/>
      <c r="AI71" s="18"/>
      <c r="AJ71" s="19"/>
    </row>
    <row r="72" spans="14:36">
      <c r="N72" s="26"/>
      <c r="O72" s="27"/>
      <c r="P72" s="27"/>
      <c r="Q72" s="27"/>
      <c r="R72" s="27"/>
      <c r="S72" s="27"/>
      <c r="T72" s="28"/>
      <c r="V72" s="26"/>
      <c r="W72" s="27"/>
      <c r="X72" s="27"/>
      <c r="Y72" s="27"/>
      <c r="Z72" s="27"/>
      <c r="AA72" s="27"/>
      <c r="AB72" s="28"/>
      <c r="AD72" s="17"/>
      <c r="AE72" s="18"/>
      <c r="AF72" s="18"/>
      <c r="AG72" s="18"/>
      <c r="AH72" s="18"/>
      <c r="AI72" s="18"/>
      <c r="AJ72" s="19"/>
    </row>
    <row r="73" spans="14:36">
      <c r="N73" s="26"/>
      <c r="O73" s="27"/>
      <c r="P73" s="27"/>
      <c r="Q73" s="27"/>
      <c r="R73" s="27"/>
      <c r="S73" s="27"/>
      <c r="T73" s="28"/>
      <c r="V73" s="26"/>
      <c r="W73" s="27"/>
      <c r="X73" s="27"/>
      <c r="Y73" s="27"/>
      <c r="Z73" s="27"/>
      <c r="AA73" s="27"/>
      <c r="AB73" s="28"/>
      <c r="AD73" s="17"/>
      <c r="AE73" s="18"/>
      <c r="AF73" s="18"/>
      <c r="AG73" s="18"/>
      <c r="AH73" s="18"/>
      <c r="AI73" s="18"/>
      <c r="AJ73" s="19"/>
    </row>
    <row r="74" spans="14:36">
      <c r="N74" s="26"/>
      <c r="O74" s="27"/>
      <c r="P74" s="27"/>
      <c r="Q74" s="27"/>
      <c r="R74" s="27"/>
      <c r="S74" s="27"/>
      <c r="T74" s="28"/>
      <c r="V74" s="26"/>
      <c r="W74" s="27"/>
      <c r="X74" s="27"/>
      <c r="Y74" s="27"/>
      <c r="Z74" s="27"/>
      <c r="AA74" s="27"/>
      <c r="AB74" s="28"/>
      <c r="AD74" s="17"/>
      <c r="AE74" s="18"/>
      <c r="AF74" s="18"/>
      <c r="AG74" s="18"/>
      <c r="AH74" s="18"/>
      <c r="AI74" s="18"/>
      <c r="AJ74" s="19"/>
    </row>
    <row r="75" spans="14:36">
      <c r="N75" s="26"/>
      <c r="O75" s="27"/>
      <c r="P75" s="27"/>
      <c r="Q75" s="27"/>
      <c r="R75" s="27"/>
      <c r="S75" s="27"/>
      <c r="T75" s="28"/>
      <c r="V75" s="26"/>
      <c r="W75" s="27"/>
      <c r="X75" s="27"/>
      <c r="Y75" s="27"/>
      <c r="Z75" s="27"/>
      <c r="AA75" s="27"/>
      <c r="AB75" s="28"/>
      <c r="AD75" s="17"/>
      <c r="AE75" s="18"/>
      <c r="AF75" s="18"/>
      <c r="AG75" s="18"/>
      <c r="AH75" s="18"/>
      <c r="AI75" s="18"/>
      <c r="AJ75" s="19"/>
    </row>
    <row r="76" spans="14:36">
      <c r="N76" s="26"/>
      <c r="O76" s="27"/>
      <c r="P76" s="27"/>
      <c r="Q76" s="27"/>
      <c r="R76" s="27"/>
      <c r="S76" s="27"/>
      <c r="T76" s="28"/>
      <c r="V76" s="26"/>
      <c r="W76" s="27"/>
      <c r="X76" s="27"/>
      <c r="Y76" s="27"/>
      <c r="Z76" s="27"/>
      <c r="AA76" s="27"/>
      <c r="AB76" s="28"/>
      <c r="AD76" s="17"/>
      <c r="AE76" s="18"/>
      <c r="AF76" s="18"/>
      <c r="AG76" s="18"/>
      <c r="AH76" s="18"/>
      <c r="AI76" s="18"/>
      <c r="AJ76" s="19"/>
    </row>
    <row r="77" spans="14:36">
      <c r="N77" s="26"/>
      <c r="O77" s="27"/>
      <c r="P77" s="27"/>
      <c r="Q77" s="27"/>
      <c r="R77" s="27"/>
      <c r="S77" s="27"/>
      <c r="T77" s="28"/>
      <c r="V77" s="26"/>
      <c r="W77" s="27"/>
      <c r="X77" s="27"/>
      <c r="Y77" s="27"/>
      <c r="Z77" s="27"/>
      <c r="AA77" s="27"/>
      <c r="AB77" s="28"/>
      <c r="AD77" s="17"/>
      <c r="AE77" s="18"/>
      <c r="AF77" s="18"/>
      <c r="AG77" s="18"/>
      <c r="AH77" s="18"/>
      <c r="AI77" s="18"/>
      <c r="AJ77" s="19"/>
    </row>
    <row r="78" spans="14:36">
      <c r="N78" s="26"/>
      <c r="O78" s="27"/>
      <c r="P78" s="27"/>
      <c r="Q78" s="27"/>
      <c r="R78" s="27"/>
      <c r="S78" s="27"/>
      <c r="T78" s="28"/>
      <c r="V78" s="26"/>
      <c r="W78" s="27"/>
      <c r="X78" s="27"/>
      <c r="Y78" s="27"/>
      <c r="Z78" s="27"/>
      <c r="AA78" s="27"/>
      <c r="AB78" s="28"/>
      <c r="AD78" s="17"/>
      <c r="AE78" s="18"/>
      <c r="AF78" s="18"/>
      <c r="AG78" s="18"/>
      <c r="AH78" s="18"/>
      <c r="AI78" s="18"/>
      <c r="AJ78" s="19"/>
    </row>
    <row r="79" spans="14:36">
      <c r="N79" s="26"/>
      <c r="O79" s="27"/>
      <c r="P79" s="27"/>
      <c r="Q79" s="27"/>
      <c r="R79" s="27"/>
      <c r="S79" s="27"/>
      <c r="T79" s="28"/>
      <c r="V79" s="26"/>
      <c r="W79" s="27"/>
      <c r="X79" s="27"/>
      <c r="Y79" s="27"/>
      <c r="Z79" s="27"/>
      <c r="AA79" s="27"/>
      <c r="AB79" s="28"/>
      <c r="AD79" s="17"/>
      <c r="AE79" s="18"/>
      <c r="AF79" s="18"/>
      <c r="AG79" s="18"/>
      <c r="AH79" s="18"/>
      <c r="AI79" s="18"/>
      <c r="AJ79" s="19"/>
    </row>
    <row r="80" spans="14:36">
      <c r="N80" s="26"/>
      <c r="O80" s="27"/>
      <c r="P80" s="27"/>
      <c r="Q80" s="27"/>
      <c r="R80" s="27"/>
      <c r="S80" s="27"/>
      <c r="T80" s="28"/>
      <c r="V80" s="26"/>
      <c r="W80" s="27"/>
      <c r="X80" s="27"/>
      <c r="Y80" s="27"/>
      <c r="Z80" s="27"/>
      <c r="AA80" s="27"/>
      <c r="AB80" s="28"/>
      <c r="AD80" s="17"/>
      <c r="AE80" s="18"/>
      <c r="AF80" s="18"/>
      <c r="AG80" s="18"/>
      <c r="AH80" s="18"/>
      <c r="AI80" s="18"/>
      <c r="AJ80" s="19"/>
    </row>
    <row r="81" spans="14:36">
      <c r="N81" s="26"/>
      <c r="O81" s="27"/>
      <c r="P81" s="27"/>
      <c r="Q81" s="27"/>
      <c r="R81" s="27"/>
      <c r="S81" s="27"/>
      <c r="T81" s="28"/>
      <c r="V81" s="26"/>
      <c r="W81" s="27"/>
      <c r="X81" s="27"/>
      <c r="Y81" s="27"/>
      <c r="Z81" s="27"/>
      <c r="AA81" s="27"/>
      <c r="AB81" s="28"/>
      <c r="AD81" s="17"/>
      <c r="AE81" s="18"/>
      <c r="AF81" s="18"/>
      <c r="AG81" s="18"/>
      <c r="AH81" s="18"/>
      <c r="AI81" s="18"/>
      <c r="AJ81" s="19"/>
    </row>
    <row r="82" spans="14:36">
      <c r="N82" s="26"/>
      <c r="O82" s="27"/>
      <c r="P82" s="27"/>
      <c r="Q82" s="27"/>
      <c r="R82" s="27"/>
      <c r="S82" s="27"/>
      <c r="T82" s="28"/>
      <c r="V82" s="26"/>
      <c r="W82" s="27"/>
      <c r="X82" s="27"/>
      <c r="Y82" s="27"/>
      <c r="Z82" s="27"/>
      <c r="AA82" s="27"/>
      <c r="AB82" s="28"/>
      <c r="AD82" s="17"/>
      <c r="AE82" s="18"/>
      <c r="AF82" s="18"/>
      <c r="AG82" s="18"/>
      <c r="AH82" s="18"/>
      <c r="AI82" s="18"/>
      <c r="AJ82" s="19"/>
    </row>
    <row r="83" spans="14:36">
      <c r="N83" s="26"/>
      <c r="O83" s="27"/>
      <c r="P83" s="27"/>
      <c r="Q83" s="27"/>
      <c r="R83" s="27"/>
      <c r="S83" s="27"/>
      <c r="T83" s="28"/>
      <c r="V83" s="26"/>
      <c r="W83" s="27"/>
      <c r="X83" s="27"/>
      <c r="Y83" s="27"/>
      <c r="Z83" s="27"/>
      <c r="AA83" s="27"/>
      <c r="AB83" s="28"/>
      <c r="AD83" s="17"/>
      <c r="AE83" s="18"/>
      <c r="AF83" s="18"/>
      <c r="AG83" s="18"/>
      <c r="AH83" s="18"/>
      <c r="AI83" s="18"/>
      <c r="AJ83" s="19"/>
    </row>
    <row r="84" spans="14:36">
      <c r="N84" s="26"/>
      <c r="O84" s="27"/>
      <c r="P84" s="27"/>
      <c r="Q84" s="27"/>
      <c r="R84" s="27"/>
      <c r="S84" s="27"/>
      <c r="T84" s="28"/>
      <c r="V84" s="26"/>
      <c r="W84" s="27"/>
      <c r="X84" s="27"/>
      <c r="Y84" s="27"/>
      <c r="Z84" s="27"/>
      <c r="AA84" s="27"/>
      <c r="AB84" s="28"/>
      <c r="AD84" s="17"/>
      <c r="AE84" s="18"/>
      <c r="AF84" s="18"/>
      <c r="AG84" s="18"/>
      <c r="AH84" s="18"/>
      <c r="AI84" s="18"/>
      <c r="AJ84" s="19"/>
    </row>
    <row r="85" spans="14:36">
      <c r="N85" s="29"/>
      <c r="O85" s="30"/>
      <c r="P85" s="30"/>
      <c r="Q85" s="30"/>
      <c r="R85" s="30"/>
      <c r="S85" s="30"/>
      <c r="T85" s="31"/>
      <c r="V85" s="29"/>
      <c r="W85" s="30"/>
      <c r="X85" s="30"/>
      <c r="Y85" s="30"/>
      <c r="Z85" s="30"/>
      <c r="AA85" s="30"/>
      <c r="AB85" s="31"/>
      <c r="AD85" s="20"/>
      <c r="AE85" s="21"/>
      <c r="AF85" s="21"/>
      <c r="AG85" s="21"/>
      <c r="AH85" s="21"/>
      <c r="AI85" s="21"/>
      <c r="AJ85" s="22"/>
    </row>
    <row r="86" spans="14:36"/>
    <row r="87" spans="14:36"/>
    <row r="88" spans="14:36"/>
    <row r="89" spans="14:36"/>
    <row r="90" spans="14:36"/>
    <row r="91" spans="14:36"/>
    <row r="92" spans="14:36"/>
    <row r="93" spans="14:36"/>
    <row r="94" spans="14:36"/>
    <row r="95" spans="14:36"/>
    <row r="96" spans="14:36">
      <c r="N96" s="8" t="s">
        <v>8</v>
      </c>
      <c r="O96" s="9"/>
      <c r="P96" s="9"/>
      <c r="Q96" s="9"/>
      <c r="R96" s="9"/>
      <c r="S96" s="9"/>
      <c r="T96" s="10"/>
      <c r="V96" s="8" t="s">
        <v>2</v>
      </c>
      <c r="W96" s="9"/>
      <c r="X96" s="9"/>
      <c r="Y96" s="9"/>
      <c r="Z96" s="9"/>
      <c r="AA96" s="9"/>
      <c r="AB96" s="10"/>
    </row>
    <row r="97" spans="14:28">
      <c r="N97" s="11"/>
      <c r="O97" s="12"/>
      <c r="P97" s="12"/>
      <c r="Q97" s="12"/>
      <c r="R97" s="12"/>
      <c r="S97" s="12"/>
      <c r="T97" s="13"/>
      <c r="V97" s="11"/>
      <c r="W97" s="12"/>
      <c r="X97" s="12"/>
      <c r="Y97" s="12"/>
      <c r="Z97" s="12"/>
      <c r="AA97" s="12"/>
      <c r="AB97" s="13"/>
    </row>
    <row r="98" spans="14:28">
      <c r="N98" s="11"/>
      <c r="O98" s="12"/>
      <c r="P98" s="12"/>
      <c r="Q98" s="12"/>
      <c r="R98" s="12"/>
      <c r="S98" s="12"/>
      <c r="T98" s="13"/>
      <c r="V98" s="11"/>
      <c r="W98" s="12"/>
      <c r="X98" s="12"/>
      <c r="Y98" s="12"/>
      <c r="Z98" s="12"/>
      <c r="AA98" s="12"/>
      <c r="AB98" s="13"/>
    </row>
    <row r="99" spans="14:28">
      <c r="N99" s="23">
        <f>'Valores Capturados'!T36</f>
        <v>4894</v>
      </c>
      <c r="O99" s="24"/>
      <c r="P99" s="24"/>
      <c r="Q99" s="24"/>
      <c r="R99" s="24"/>
      <c r="S99" s="24"/>
      <c r="T99" s="25"/>
      <c r="V99" s="23">
        <f>'Valores Capturados'!V36</f>
        <v>350</v>
      </c>
      <c r="W99" s="24"/>
      <c r="X99" s="24"/>
      <c r="Y99" s="24"/>
      <c r="Z99" s="24"/>
      <c r="AA99" s="24"/>
      <c r="AB99" s="25"/>
    </row>
    <row r="100" spans="14:28">
      <c r="N100" s="26"/>
      <c r="O100" s="27"/>
      <c r="P100" s="27"/>
      <c r="Q100" s="27"/>
      <c r="R100" s="27"/>
      <c r="S100" s="27"/>
      <c r="T100" s="28"/>
      <c r="V100" s="26"/>
      <c r="W100" s="27"/>
      <c r="X100" s="27"/>
      <c r="Y100" s="27"/>
      <c r="Z100" s="27"/>
      <c r="AA100" s="27"/>
      <c r="AB100" s="28"/>
    </row>
    <row r="101" spans="14:28">
      <c r="N101" s="26"/>
      <c r="O101" s="27"/>
      <c r="P101" s="27"/>
      <c r="Q101" s="27"/>
      <c r="R101" s="27"/>
      <c r="S101" s="27"/>
      <c r="T101" s="28"/>
      <c r="V101" s="26"/>
      <c r="W101" s="27"/>
      <c r="X101" s="27"/>
      <c r="Y101" s="27"/>
      <c r="Z101" s="27"/>
      <c r="AA101" s="27"/>
      <c r="AB101" s="28"/>
    </row>
    <row r="102" spans="14:28">
      <c r="N102" s="26"/>
      <c r="O102" s="27"/>
      <c r="P102" s="27"/>
      <c r="Q102" s="27"/>
      <c r="R102" s="27"/>
      <c r="S102" s="27"/>
      <c r="T102" s="28"/>
      <c r="V102" s="26"/>
      <c r="W102" s="27"/>
      <c r="X102" s="27"/>
      <c r="Y102" s="27"/>
      <c r="Z102" s="27"/>
      <c r="AA102" s="27"/>
      <c r="AB102" s="28"/>
    </row>
    <row r="103" spans="14:28">
      <c r="N103" s="26"/>
      <c r="O103" s="27"/>
      <c r="P103" s="27"/>
      <c r="Q103" s="27"/>
      <c r="R103" s="27"/>
      <c r="S103" s="27"/>
      <c r="T103" s="28"/>
      <c r="V103" s="26"/>
      <c r="W103" s="27"/>
      <c r="X103" s="27"/>
      <c r="Y103" s="27"/>
      <c r="Z103" s="27"/>
      <c r="AA103" s="27"/>
      <c r="AB103" s="28"/>
    </row>
    <row r="104" spans="14:28">
      <c r="N104" s="26"/>
      <c r="O104" s="27"/>
      <c r="P104" s="27"/>
      <c r="Q104" s="27"/>
      <c r="R104" s="27"/>
      <c r="S104" s="27"/>
      <c r="T104" s="28"/>
      <c r="V104" s="26"/>
      <c r="W104" s="27"/>
      <c r="X104" s="27"/>
      <c r="Y104" s="27"/>
      <c r="Z104" s="27"/>
      <c r="AA104" s="27"/>
      <c r="AB104" s="28"/>
    </row>
    <row r="105" spans="14:28">
      <c r="N105" s="26"/>
      <c r="O105" s="27"/>
      <c r="P105" s="27"/>
      <c r="Q105" s="27"/>
      <c r="R105" s="27"/>
      <c r="S105" s="27"/>
      <c r="T105" s="28"/>
      <c r="V105" s="26"/>
      <c r="W105" s="27"/>
      <c r="X105" s="27"/>
      <c r="Y105" s="27"/>
      <c r="Z105" s="27"/>
      <c r="AA105" s="27"/>
      <c r="AB105" s="28"/>
    </row>
    <row r="106" spans="14:28">
      <c r="N106" s="26"/>
      <c r="O106" s="27"/>
      <c r="P106" s="27"/>
      <c r="Q106" s="27"/>
      <c r="R106" s="27"/>
      <c r="S106" s="27"/>
      <c r="T106" s="28"/>
      <c r="V106" s="26"/>
      <c r="W106" s="27"/>
      <c r="X106" s="27"/>
      <c r="Y106" s="27"/>
      <c r="Z106" s="27"/>
      <c r="AA106" s="27"/>
      <c r="AB106" s="28"/>
    </row>
    <row r="107" spans="14:28">
      <c r="N107" s="26"/>
      <c r="O107" s="27"/>
      <c r="P107" s="27"/>
      <c r="Q107" s="27"/>
      <c r="R107" s="27"/>
      <c r="S107" s="27"/>
      <c r="T107" s="28"/>
      <c r="V107" s="26"/>
      <c r="W107" s="27"/>
      <c r="X107" s="27"/>
      <c r="Y107" s="27"/>
      <c r="Z107" s="27"/>
      <c r="AA107" s="27"/>
      <c r="AB107" s="28"/>
    </row>
    <row r="108" spans="14:28">
      <c r="N108" s="26"/>
      <c r="O108" s="27"/>
      <c r="P108" s="27"/>
      <c r="Q108" s="27"/>
      <c r="R108" s="27"/>
      <c r="S108" s="27"/>
      <c r="T108" s="28"/>
      <c r="V108" s="26"/>
      <c r="W108" s="27"/>
      <c r="X108" s="27"/>
      <c r="Y108" s="27"/>
      <c r="Z108" s="27"/>
      <c r="AA108" s="27"/>
      <c r="AB108" s="28"/>
    </row>
    <row r="109" spans="14:28">
      <c r="N109" s="26"/>
      <c r="O109" s="27"/>
      <c r="P109" s="27"/>
      <c r="Q109" s="27"/>
      <c r="R109" s="27"/>
      <c r="S109" s="27"/>
      <c r="T109" s="28"/>
      <c r="V109" s="26"/>
      <c r="W109" s="27"/>
      <c r="X109" s="27"/>
      <c r="Y109" s="27"/>
      <c r="Z109" s="27"/>
      <c r="AA109" s="27"/>
      <c r="AB109" s="28"/>
    </row>
    <row r="110" spans="14:28">
      <c r="N110" s="26"/>
      <c r="O110" s="27"/>
      <c r="P110" s="27"/>
      <c r="Q110" s="27"/>
      <c r="R110" s="27"/>
      <c r="S110" s="27"/>
      <c r="T110" s="28"/>
      <c r="V110" s="26"/>
      <c r="W110" s="27"/>
      <c r="X110" s="27"/>
      <c r="Y110" s="27"/>
      <c r="Z110" s="27"/>
      <c r="AA110" s="27"/>
      <c r="AB110" s="28"/>
    </row>
    <row r="111" spans="14:28">
      <c r="N111" s="26"/>
      <c r="O111" s="27"/>
      <c r="P111" s="27"/>
      <c r="Q111" s="27"/>
      <c r="R111" s="27"/>
      <c r="S111" s="27"/>
      <c r="T111" s="28"/>
      <c r="V111" s="26"/>
      <c r="W111" s="27"/>
      <c r="X111" s="27"/>
      <c r="Y111" s="27"/>
      <c r="Z111" s="27"/>
      <c r="AA111" s="27"/>
      <c r="AB111" s="28"/>
    </row>
    <row r="112" spans="14:28">
      <c r="N112" s="26"/>
      <c r="O112" s="27"/>
      <c r="P112" s="27"/>
      <c r="Q112" s="27"/>
      <c r="R112" s="27"/>
      <c r="S112" s="27"/>
      <c r="T112" s="28"/>
      <c r="V112" s="26"/>
      <c r="W112" s="27"/>
      <c r="X112" s="27"/>
      <c r="Y112" s="27"/>
      <c r="Z112" s="27"/>
      <c r="AA112" s="27"/>
      <c r="AB112" s="28"/>
    </row>
    <row r="113" spans="14:28">
      <c r="N113" s="26"/>
      <c r="O113" s="27"/>
      <c r="P113" s="27"/>
      <c r="Q113" s="27"/>
      <c r="R113" s="27"/>
      <c r="S113" s="27"/>
      <c r="T113" s="28"/>
      <c r="V113" s="26"/>
      <c r="W113" s="27"/>
      <c r="X113" s="27"/>
      <c r="Y113" s="27"/>
      <c r="Z113" s="27"/>
      <c r="AA113" s="27"/>
      <c r="AB113" s="28"/>
    </row>
    <row r="114" spans="14:28">
      <c r="N114" s="26"/>
      <c r="O114" s="27"/>
      <c r="P114" s="27"/>
      <c r="Q114" s="27"/>
      <c r="R114" s="27"/>
      <c r="S114" s="27"/>
      <c r="T114" s="28"/>
      <c r="V114" s="26"/>
      <c r="W114" s="27"/>
      <c r="X114" s="27"/>
      <c r="Y114" s="27"/>
      <c r="Z114" s="27"/>
      <c r="AA114" s="27"/>
      <c r="AB114" s="28"/>
    </row>
    <row r="115" spans="14:28">
      <c r="N115" s="29"/>
      <c r="O115" s="30"/>
      <c r="P115" s="30"/>
      <c r="Q115" s="30"/>
      <c r="R115" s="30"/>
      <c r="S115" s="30"/>
      <c r="T115" s="31"/>
      <c r="V115" s="29"/>
      <c r="W115" s="30"/>
      <c r="X115" s="30"/>
      <c r="Y115" s="30"/>
      <c r="Z115" s="30"/>
      <c r="AA115" s="30"/>
      <c r="AB115" s="31"/>
    </row>
    <row r="116" spans="14:28"/>
    <row r="117" spans="14:28"/>
    <row r="118" spans="14:28"/>
    <row r="119" spans="14:28" ht="15" customHeight="1"/>
    <row r="120" spans="14:28"/>
    <row r="121" spans="14:28"/>
    <row r="122" spans="14:28"/>
    <row r="123" spans="14:28"/>
    <row r="124" spans="14:28"/>
    <row r="125" spans="14:28"/>
    <row r="126" spans="14:28"/>
    <row r="127" spans="14:28"/>
    <row r="128" spans="14:28"/>
    <row r="129"/>
    <row r="130"/>
    <row r="131"/>
    <row r="132"/>
    <row r="133"/>
    <row r="134"/>
    <row r="135"/>
  </sheetData>
  <mergeCells count="23">
    <mergeCell ref="A1:AE6"/>
    <mergeCell ref="AD41:AJ57"/>
    <mergeCell ref="N69:T85"/>
    <mergeCell ref="N96:T98"/>
    <mergeCell ref="N99:T115"/>
    <mergeCell ref="V96:AB98"/>
    <mergeCell ref="V99:AB115"/>
    <mergeCell ref="N9:T11"/>
    <mergeCell ref="N12:T28"/>
    <mergeCell ref="N38:T40"/>
    <mergeCell ref="N41:T57"/>
    <mergeCell ref="N66:T68"/>
    <mergeCell ref="V9:AB11"/>
    <mergeCell ref="V12:AB28"/>
    <mergeCell ref="AD9:AJ11"/>
    <mergeCell ref="AD12:AJ28"/>
    <mergeCell ref="AD38:AJ40"/>
    <mergeCell ref="AD66:AJ68"/>
    <mergeCell ref="AD69:AJ85"/>
    <mergeCell ref="V69:AB85"/>
    <mergeCell ref="V38:AB40"/>
    <mergeCell ref="V41:AB57"/>
    <mergeCell ref="V66:AB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8646-8E1D-4E11-8869-032067F4EC53}">
  <dimension ref="B1:Y55"/>
  <sheetViews>
    <sheetView workbookViewId="0">
      <selection activeCell="B13" sqref="B13"/>
    </sheetView>
  </sheetViews>
  <sheetFormatPr defaultRowHeight="15"/>
  <cols>
    <col min="1" max="1" width="9.140625" style="3"/>
    <col min="2" max="2" width="34.5703125" style="3" bestFit="1" customWidth="1"/>
    <col min="3" max="3" width="10.140625" style="3" bestFit="1" customWidth="1"/>
    <col min="4" max="4" width="34.140625" style="3" bestFit="1" customWidth="1"/>
    <col min="5" max="5" width="33.5703125" style="3" bestFit="1" customWidth="1"/>
    <col min="6" max="6" width="10.140625" style="3" bestFit="1" customWidth="1"/>
    <col min="7" max="7" width="9.140625" style="3"/>
    <col min="8" max="8" width="28.140625" style="3" bestFit="1" customWidth="1"/>
    <col min="9" max="9" width="10.140625" style="3" bestFit="1" customWidth="1"/>
    <col min="10" max="10" width="24.7109375" style="3" bestFit="1" customWidth="1"/>
    <col min="11" max="11" width="34.140625" style="3" bestFit="1" customWidth="1"/>
    <col min="12" max="12" width="10.5703125" style="3" bestFit="1" customWidth="1"/>
    <col min="13" max="13" width="9.140625" style="3"/>
    <col min="14" max="14" width="31.42578125" style="3" bestFit="1" customWidth="1"/>
    <col min="15" max="15" width="35.42578125" style="3" bestFit="1" customWidth="1"/>
    <col min="16" max="16" width="34.140625" style="3" bestFit="1" customWidth="1"/>
    <col min="17" max="17" width="12.140625" style="3" bestFit="1" customWidth="1"/>
    <col min="18" max="18" width="29" style="3" bestFit="1" customWidth="1"/>
    <col min="19" max="19" width="9.140625" style="3"/>
    <col min="20" max="20" width="22" style="3" bestFit="1" customWidth="1"/>
    <col min="21" max="21" width="34" style="3" bestFit="1" customWidth="1"/>
    <col min="22" max="22" width="24.7109375" style="3" bestFit="1" customWidth="1"/>
    <col min="23" max="23" width="10.140625" style="3" bestFit="1" customWidth="1"/>
    <col min="24" max="24" width="40" style="3" bestFit="1" customWidth="1"/>
    <col min="25" max="16384" width="9.140625" style="3"/>
  </cols>
  <sheetData>
    <row r="1" spans="2:25">
      <c r="B1" s="3" t="s">
        <v>9</v>
      </c>
      <c r="C1" s="3" t="s">
        <v>10</v>
      </c>
      <c r="E1" s="3" t="s">
        <v>11</v>
      </c>
      <c r="F1" s="3" t="s">
        <v>10</v>
      </c>
      <c r="H1" s="3" t="s">
        <v>12</v>
      </c>
      <c r="I1" s="3" t="s">
        <v>10</v>
      </c>
      <c r="K1" s="3" t="s">
        <v>13</v>
      </c>
      <c r="L1" s="3" t="s">
        <v>14</v>
      </c>
    </row>
    <row r="2" spans="2:25">
      <c r="B2" s="3">
        <v>9</v>
      </c>
      <c r="C2" s="4">
        <f ca="1">TODAY() - DAY(10)</f>
        <v>46136</v>
      </c>
      <c r="E2" s="3">
        <v>18</v>
      </c>
      <c r="F2" s="4">
        <f ca="1">TODAY() - DAY(10)</f>
        <v>46136</v>
      </c>
      <c r="H2" s="3">
        <v>0</v>
      </c>
      <c r="I2" s="4">
        <f ca="1">TODAY() - DAY(10)</f>
        <v>46136</v>
      </c>
      <c r="K2">
        <v>480</v>
      </c>
      <c r="L2" s="3">
        <v>1</v>
      </c>
      <c r="M2"/>
      <c r="N2" s="5" t="s">
        <v>10</v>
      </c>
      <c r="O2" s="5" t="s">
        <v>9</v>
      </c>
      <c r="P2"/>
      <c r="Q2" s="5" t="s">
        <v>10</v>
      </c>
      <c r="R2" s="5" t="s">
        <v>12</v>
      </c>
      <c r="S2"/>
      <c r="T2" s="5" t="s">
        <v>10</v>
      </c>
      <c r="U2" t="s">
        <v>15</v>
      </c>
      <c r="V2"/>
      <c r="W2" s="5" t="s">
        <v>10</v>
      </c>
      <c r="X2" t="s">
        <v>16</v>
      </c>
      <c r="Y2"/>
    </row>
    <row r="3" spans="2:25">
      <c r="B3" s="3">
        <v>10</v>
      </c>
      <c r="C3" s="4">
        <f ca="1">TODAY() - DAY(9)</f>
        <v>46137</v>
      </c>
      <c r="E3" s="3">
        <v>0</v>
      </c>
      <c r="F3" s="4">
        <f ca="1">TODAY() - DAY(9)</f>
        <v>46137</v>
      </c>
      <c r="H3" s="3">
        <v>2</v>
      </c>
      <c r="I3" s="4">
        <f ca="1">TODAY() - DAY(9)</f>
        <v>46137</v>
      </c>
      <c r="K3">
        <v>445</v>
      </c>
      <c r="L3" s="3">
        <v>2</v>
      </c>
      <c r="M3"/>
      <c r="N3" s="6">
        <v>46136</v>
      </c>
      <c r="O3">
        <v>6</v>
      </c>
      <c r="P3"/>
      <c r="Q3" s="6">
        <v>46136</v>
      </c>
      <c r="R3">
        <v>0</v>
      </c>
      <c r="S3"/>
      <c r="T3" s="6">
        <v>46136</v>
      </c>
      <c r="U3">
        <v>0</v>
      </c>
      <c r="V3"/>
      <c r="W3" s="6">
        <v>46136</v>
      </c>
      <c r="X3">
        <v>327</v>
      </c>
      <c r="Y3"/>
    </row>
    <row r="4" spans="2:25">
      <c r="B4" s="3">
        <v>2</v>
      </c>
      <c r="C4" s="4">
        <f ca="1">TODAY() - DAY(8)</f>
        <v>46138</v>
      </c>
      <c r="E4" s="3">
        <v>6</v>
      </c>
      <c r="F4" s="4">
        <f ca="1">TODAY() - DAY(8)</f>
        <v>46138</v>
      </c>
      <c r="H4" s="3">
        <v>2</v>
      </c>
      <c r="I4" s="4">
        <f ca="1">TODAY() - DAY(8)</f>
        <v>46138</v>
      </c>
      <c r="K4">
        <v>255</v>
      </c>
      <c r="L4" s="3">
        <v>3</v>
      </c>
      <c r="M4"/>
      <c r="N4" s="6">
        <v>46137</v>
      </c>
      <c r="O4">
        <v>10</v>
      </c>
      <c r="P4"/>
      <c r="Q4" s="6">
        <v>46137</v>
      </c>
      <c r="R4">
        <v>2</v>
      </c>
      <c r="S4"/>
      <c r="T4" s="6">
        <v>46137</v>
      </c>
      <c r="U4">
        <v>2</v>
      </c>
      <c r="V4"/>
      <c r="W4" s="6">
        <v>46137</v>
      </c>
      <c r="X4">
        <v>385</v>
      </c>
      <c r="Y4"/>
    </row>
    <row r="5" spans="2:25">
      <c r="B5" s="3">
        <v>7</v>
      </c>
      <c r="C5" s="4">
        <f ca="1">TODAY() - DAY(7)</f>
        <v>46139</v>
      </c>
      <c r="E5" s="3">
        <v>14</v>
      </c>
      <c r="F5" s="4">
        <f ca="1">TODAY() - DAY(7)</f>
        <v>46139</v>
      </c>
      <c r="H5" s="3">
        <v>2</v>
      </c>
      <c r="I5" s="4">
        <f ca="1">TODAY() - DAY(7)</f>
        <v>46139</v>
      </c>
      <c r="K5">
        <v>487</v>
      </c>
      <c r="L5" s="3">
        <v>4</v>
      </c>
      <c r="M5"/>
      <c r="N5" s="6">
        <v>46138</v>
      </c>
      <c r="O5">
        <v>2</v>
      </c>
      <c r="P5"/>
      <c r="Q5" s="6">
        <v>46138</v>
      </c>
      <c r="R5">
        <v>2</v>
      </c>
      <c r="S5"/>
      <c r="T5" s="6">
        <v>46138</v>
      </c>
      <c r="U5">
        <v>2</v>
      </c>
      <c r="V5"/>
      <c r="W5" s="6">
        <v>46138</v>
      </c>
      <c r="X5">
        <v>388</v>
      </c>
      <c r="Y5"/>
    </row>
    <row r="6" spans="2:25">
      <c r="B6" s="3">
        <v>9</v>
      </c>
      <c r="C6" s="4">
        <f ca="1">TODAY() - DAY(6)</f>
        <v>46140</v>
      </c>
      <c r="E6" s="3">
        <v>0</v>
      </c>
      <c r="F6" s="4">
        <f ca="1">TODAY() - DAY(6)</f>
        <v>46140</v>
      </c>
      <c r="H6" s="3">
        <v>2</v>
      </c>
      <c r="I6" s="4">
        <f ca="1">TODAY() - DAY(6)</f>
        <v>46140</v>
      </c>
      <c r="K6">
        <v>179</v>
      </c>
      <c r="L6" s="3">
        <v>5</v>
      </c>
      <c r="M6"/>
      <c r="N6" s="6">
        <v>46139</v>
      </c>
      <c r="O6">
        <v>7</v>
      </c>
      <c r="P6"/>
      <c r="Q6" s="6">
        <v>46139</v>
      </c>
      <c r="R6">
        <v>2</v>
      </c>
      <c r="S6"/>
      <c r="T6" s="6">
        <v>46139</v>
      </c>
      <c r="U6">
        <v>2</v>
      </c>
      <c r="V6"/>
      <c r="W6" s="6">
        <v>46139</v>
      </c>
      <c r="X6">
        <v>490</v>
      </c>
      <c r="Y6"/>
    </row>
    <row r="7" spans="2:25">
      <c r="B7" s="3">
        <v>15</v>
      </c>
      <c r="C7" s="4">
        <f ca="1">TODAY() - DAY(5)</f>
        <v>46141</v>
      </c>
      <c r="E7" s="3">
        <v>30</v>
      </c>
      <c r="F7" s="4">
        <f ca="1">TODAY() - DAY(5)</f>
        <v>46141</v>
      </c>
      <c r="H7" s="3">
        <v>2</v>
      </c>
      <c r="I7" s="4">
        <f ca="1">TODAY() - DAY(5)</f>
        <v>46141</v>
      </c>
      <c r="K7">
        <v>408</v>
      </c>
      <c r="L7" s="3">
        <v>6</v>
      </c>
      <c r="M7"/>
      <c r="N7" s="6">
        <v>46140</v>
      </c>
      <c r="O7">
        <v>9</v>
      </c>
      <c r="P7"/>
      <c r="Q7" s="6">
        <v>46140</v>
      </c>
      <c r="R7">
        <v>2</v>
      </c>
      <c r="S7"/>
      <c r="T7" s="6">
        <v>46140</v>
      </c>
      <c r="U7">
        <v>2</v>
      </c>
      <c r="V7"/>
      <c r="W7" s="6">
        <v>46140</v>
      </c>
      <c r="X7">
        <v>129</v>
      </c>
      <c r="Y7"/>
    </row>
    <row r="8" spans="2:25">
      <c r="B8" s="3">
        <v>13</v>
      </c>
      <c r="C8" s="4">
        <f ca="1">TODAY() - DAY(4)</f>
        <v>46142</v>
      </c>
      <c r="E8" s="3">
        <v>13</v>
      </c>
      <c r="F8" s="4">
        <f ca="1">TODAY() - DAY(4)</f>
        <v>46142</v>
      </c>
      <c r="H8" s="3">
        <v>1</v>
      </c>
      <c r="I8" s="4">
        <f ca="1">TODAY() - DAY(4)</f>
        <v>46142</v>
      </c>
      <c r="K8">
        <v>129</v>
      </c>
      <c r="L8" s="3">
        <v>7</v>
      </c>
      <c r="M8"/>
      <c r="N8" s="6">
        <v>46141</v>
      </c>
      <c r="O8">
        <v>15</v>
      </c>
      <c r="P8"/>
      <c r="Q8" s="6">
        <v>46141</v>
      </c>
      <c r="R8">
        <v>2</v>
      </c>
      <c r="S8"/>
      <c r="T8" s="6">
        <v>46141</v>
      </c>
      <c r="U8">
        <v>2</v>
      </c>
      <c r="V8"/>
      <c r="W8" s="6">
        <v>46141</v>
      </c>
      <c r="X8">
        <v>408</v>
      </c>
      <c r="Y8"/>
    </row>
    <row r="9" spans="2:25">
      <c r="B9" s="3">
        <v>5</v>
      </c>
      <c r="C9" s="4">
        <f ca="1">TODAY() - DAY(3)</f>
        <v>46143</v>
      </c>
      <c r="E9" s="3">
        <v>0</v>
      </c>
      <c r="F9" s="4">
        <f ca="1">TODAY() - DAY(3)</f>
        <v>46143</v>
      </c>
      <c r="H9" s="3">
        <v>2</v>
      </c>
      <c r="I9" s="4">
        <f ca="1">TODAY() - DAY(3)</f>
        <v>46143</v>
      </c>
      <c r="K9">
        <v>490</v>
      </c>
      <c r="L9" s="3">
        <v>8</v>
      </c>
      <c r="M9"/>
      <c r="N9" s="6">
        <v>46142</v>
      </c>
      <c r="O9">
        <v>13</v>
      </c>
      <c r="P9"/>
      <c r="Q9" s="6">
        <v>46142</v>
      </c>
      <c r="R9">
        <v>1</v>
      </c>
      <c r="S9"/>
      <c r="T9" s="6">
        <v>46142</v>
      </c>
      <c r="U9">
        <v>1</v>
      </c>
      <c r="V9"/>
      <c r="W9" s="6">
        <v>46142</v>
      </c>
      <c r="X9">
        <v>179</v>
      </c>
      <c r="Y9"/>
    </row>
    <row r="10" spans="2:25">
      <c r="B10" s="3">
        <v>6</v>
      </c>
      <c r="C10" s="4">
        <f ca="1">TODAY() - DAY(2)</f>
        <v>46144</v>
      </c>
      <c r="E10" s="3">
        <v>12</v>
      </c>
      <c r="F10" s="4">
        <f ca="1">TODAY() - DAY(2)</f>
        <v>46144</v>
      </c>
      <c r="H10" s="3">
        <v>1</v>
      </c>
      <c r="I10" s="4">
        <f ca="1">TODAY() - DAY(2)</f>
        <v>46144</v>
      </c>
      <c r="K10">
        <v>388</v>
      </c>
      <c r="L10" s="3">
        <v>9</v>
      </c>
      <c r="M10"/>
      <c r="N10" s="6">
        <v>46143</v>
      </c>
      <c r="O10">
        <v>5</v>
      </c>
      <c r="P10"/>
      <c r="Q10" s="6">
        <v>46143</v>
      </c>
      <c r="R10">
        <v>2</v>
      </c>
      <c r="S10"/>
      <c r="T10" s="6">
        <v>46143</v>
      </c>
      <c r="U10">
        <v>2</v>
      </c>
      <c r="V10"/>
      <c r="W10" s="6">
        <v>46143</v>
      </c>
      <c r="X10">
        <v>487</v>
      </c>
      <c r="Y10"/>
    </row>
    <row r="11" spans="2:25">
      <c r="B11" s="3">
        <v>13</v>
      </c>
      <c r="C11" s="4">
        <f ca="1">TODAY() - DAY(1)</f>
        <v>46145</v>
      </c>
      <c r="E11" s="3">
        <v>39</v>
      </c>
      <c r="F11" s="4">
        <f ca="1">TODAY() - DAY(1)</f>
        <v>46145</v>
      </c>
      <c r="H11" s="3">
        <v>0</v>
      </c>
      <c r="I11" s="4">
        <f ca="1">TODAY() - DAY(1)</f>
        <v>46145</v>
      </c>
      <c r="K11">
        <v>385</v>
      </c>
      <c r="L11" s="3">
        <v>10</v>
      </c>
      <c r="M11"/>
      <c r="N11" s="6">
        <v>46144</v>
      </c>
      <c r="O11">
        <v>6</v>
      </c>
      <c r="P11"/>
      <c r="Q11" s="6">
        <v>46144</v>
      </c>
      <c r="R11">
        <v>1</v>
      </c>
      <c r="S11"/>
      <c r="T11" s="6">
        <v>46144</v>
      </c>
      <c r="U11">
        <v>1</v>
      </c>
      <c r="V11"/>
      <c r="W11" s="6">
        <v>46144</v>
      </c>
      <c r="X11">
        <v>255</v>
      </c>
      <c r="Y11"/>
    </row>
    <row r="12" spans="2:25">
      <c r="B12" s="3">
        <v>10</v>
      </c>
      <c r="C12" s="4">
        <f ca="1">TODAY() - DAY(0)</f>
        <v>46146</v>
      </c>
      <c r="E12" s="3">
        <v>18</v>
      </c>
      <c r="F12" s="4">
        <f ca="1">TODAY() - DAY(0)</f>
        <v>46146</v>
      </c>
      <c r="H12" s="3">
        <v>0</v>
      </c>
      <c r="I12" s="4">
        <f ca="1">TODAY() - DAY(0)</f>
        <v>46146</v>
      </c>
      <c r="K12">
        <v>327</v>
      </c>
      <c r="L12" s="3">
        <v>11</v>
      </c>
      <c r="M12"/>
      <c r="N12" s="6">
        <v>46145</v>
      </c>
      <c r="O12">
        <v>13</v>
      </c>
      <c r="P12"/>
      <c r="Q12" s="6">
        <v>46145</v>
      </c>
      <c r="R12">
        <v>0</v>
      </c>
      <c r="S12"/>
      <c r="T12" s="6">
        <v>46145</v>
      </c>
      <c r="U12">
        <v>0</v>
      </c>
      <c r="V12"/>
      <c r="W12" s="6">
        <v>46145</v>
      </c>
      <c r="X12">
        <v>445</v>
      </c>
      <c r="Y12"/>
    </row>
    <row r="13" spans="2:25">
      <c r="F13" s="4"/>
      <c r="K13">
        <v>255</v>
      </c>
      <c r="L13" s="3">
        <v>12</v>
      </c>
      <c r="M13"/>
      <c r="N13" s="6">
        <v>46146</v>
      </c>
      <c r="O13">
        <v>1</v>
      </c>
      <c r="P13"/>
      <c r="Q13" s="6">
        <v>46146</v>
      </c>
      <c r="R13">
        <v>0</v>
      </c>
      <c r="S13"/>
      <c r="T13" s="6">
        <v>46146</v>
      </c>
      <c r="U13">
        <v>0</v>
      </c>
      <c r="V13"/>
      <c r="W13" s="6">
        <v>46146</v>
      </c>
      <c r="X13">
        <v>480</v>
      </c>
      <c r="Y13"/>
    </row>
    <row r="14" spans="2:25">
      <c r="F14" s="4"/>
      <c r="K14">
        <v>487</v>
      </c>
      <c r="L14" s="3">
        <v>13</v>
      </c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2:25">
      <c r="F15" s="4"/>
      <c r="K15">
        <v>179</v>
      </c>
      <c r="L15" s="3">
        <v>14</v>
      </c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2:25">
      <c r="F16" s="4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6:25">
      <c r="F17" s="4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6:25">
      <c r="F18" s="4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6:25">
      <c r="F19" s="4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6:25">
      <c r="F20" s="4"/>
      <c r="K20"/>
      <c r="L20"/>
      <c r="N20"/>
      <c r="O20"/>
      <c r="P20"/>
      <c r="Q20"/>
      <c r="R20"/>
      <c r="S20"/>
      <c r="T20"/>
    </row>
    <row r="21" spans="6:25">
      <c r="F21" s="4"/>
      <c r="K21"/>
      <c r="L21"/>
      <c r="N21"/>
      <c r="O21"/>
      <c r="Q21"/>
      <c r="R21"/>
      <c r="S21"/>
      <c r="T21"/>
    </row>
    <row r="22" spans="6:25">
      <c r="F22" s="4"/>
      <c r="K22"/>
      <c r="L22"/>
      <c r="N22"/>
      <c r="O22"/>
      <c r="Q22"/>
      <c r="R22"/>
      <c r="S22"/>
      <c r="T22"/>
    </row>
    <row r="23" spans="6:25">
      <c r="F23" s="4"/>
      <c r="K23"/>
      <c r="L23"/>
      <c r="N23"/>
      <c r="O23"/>
      <c r="Q23"/>
      <c r="R23"/>
      <c r="S23"/>
      <c r="T23"/>
    </row>
    <row r="24" spans="6:25">
      <c r="F24" s="4"/>
      <c r="K24"/>
      <c r="L24"/>
      <c r="N24"/>
      <c r="O24"/>
      <c r="Q24"/>
      <c r="R24"/>
      <c r="S24"/>
      <c r="T24"/>
    </row>
    <row r="25" spans="6:25">
      <c r="F25" s="4"/>
      <c r="K25"/>
      <c r="L25"/>
      <c r="N25"/>
      <c r="O25"/>
      <c r="Q25"/>
      <c r="R25"/>
      <c r="S25"/>
      <c r="T25"/>
    </row>
    <row r="26" spans="6:25">
      <c r="F26" s="4"/>
      <c r="K26"/>
      <c r="L26"/>
      <c r="N26"/>
      <c r="O26"/>
      <c r="R26"/>
      <c r="S26"/>
      <c r="T26"/>
    </row>
    <row r="27" spans="6:25">
      <c r="F27" s="4"/>
      <c r="K27"/>
      <c r="L27"/>
      <c r="N27"/>
      <c r="O27"/>
      <c r="R27"/>
      <c r="S27"/>
      <c r="T27"/>
    </row>
    <row r="28" spans="6:25">
      <c r="K28"/>
      <c r="L28"/>
      <c r="N28"/>
      <c r="O28"/>
      <c r="R28"/>
      <c r="S28"/>
      <c r="T28"/>
    </row>
    <row r="29" spans="6:25">
      <c r="K29"/>
      <c r="L29"/>
      <c r="N29"/>
      <c r="O29"/>
      <c r="R29"/>
      <c r="S29"/>
      <c r="T29"/>
    </row>
    <row r="30" spans="6:25">
      <c r="K30"/>
      <c r="L30"/>
      <c r="N30"/>
      <c r="O30"/>
    </row>
    <row r="31" spans="6:25">
      <c r="K31"/>
      <c r="L31"/>
      <c r="N31"/>
      <c r="O31"/>
    </row>
    <row r="32" spans="6:25">
      <c r="K32"/>
      <c r="L32"/>
      <c r="N32"/>
      <c r="O32"/>
    </row>
    <row r="33" spans="11:22">
      <c r="K33"/>
      <c r="L33"/>
      <c r="N33"/>
      <c r="O33"/>
    </row>
    <row r="34" spans="11:22">
      <c r="K34"/>
      <c r="L34"/>
      <c r="N34"/>
      <c r="O34"/>
    </row>
    <row r="35" spans="11:22">
      <c r="K35"/>
      <c r="L35"/>
      <c r="N35" s="3" t="s">
        <v>17</v>
      </c>
      <c r="P35" s="3" t="s">
        <v>18</v>
      </c>
      <c r="R35" s="3" t="s">
        <v>19</v>
      </c>
      <c r="T35" s="3" t="s">
        <v>20</v>
      </c>
      <c r="V35" s="3" t="s">
        <v>21</v>
      </c>
    </row>
    <row r="36" spans="11:22">
      <c r="K36"/>
      <c r="L36"/>
      <c r="N36" s="3">
        <f>SUM(B2:B13)</f>
        <v>99</v>
      </c>
      <c r="P36" s="3">
        <f>SUM(Tabela5[Quantidade_personagens_criados])</f>
        <v>150</v>
      </c>
      <c r="R36" s="3">
        <f>SUM(Tabela6[Quantidade_Mesas_Criadas])</f>
        <v>14</v>
      </c>
      <c r="T36" s="3">
        <f>SUM(Tabela7[Quantidade_elementos_por_mesa])</f>
        <v>4894</v>
      </c>
      <c r="V36" s="3">
        <f>ROUND(T36/R36,0)</f>
        <v>350</v>
      </c>
    </row>
    <row r="37" spans="11:22">
      <c r="K37"/>
      <c r="L37"/>
    </row>
    <row r="38" spans="11:22">
      <c r="K38"/>
      <c r="L38"/>
      <c r="N38" s="3" t="s">
        <v>22</v>
      </c>
      <c r="P38" s="3" t="s">
        <v>23</v>
      </c>
      <c r="R38" s="3" t="s">
        <v>24</v>
      </c>
    </row>
    <row r="39" spans="11:22">
      <c r="K39"/>
      <c r="L39"/>
      <c r="N39" s="3">
        <f>ROUND(N36/10,0)</f>
        <v>10</v>
      </c>
      <c r="P39" s="3">
        <f>ROUND(P36/10,0)</f>
        <v>15</v>
      </c>
      <c r="R39" s="3">
        <f>ROUND(R36/10,0)</f>
        <v>1</v>
      </c>
    </row>
    <row r="40" spans="11:22">
      <c r="K40"/>
      <c r="L40"/>
    </row>
    <row r="41" spans="11:22">
      <c r="K41"/>
      <c r="L41"/>
      <c r="N41" s="3" t="s">
        <v>25</v>
      </c>
      <c r="P41" s="3" t="s">
        <v>26</v>
      </c>
      <c r="R41" s="3" t="s">
        <v>27</v>
      </c>
    </row>
    <row r="42" spans="11:22">
      <c r="K42"/>
      <c r="L42"/>
      <c r="N42" s="7" cm="1">
        <f t="array" ref="N42">LOOKUP(2,1/(B:B&lt;&gt;""),B:B)</f>
        <v>10</v>
      </c>
      <c r="P42" s="7" cm="1">
        <f t="array" ref="P42">LOOKUP(2,1/(E:E&lt;&gt;""),E:E)</f>
        <v>18</v>
      </c>
      <c r="R42" s="7" cm="1">
        <f t="array" ref="R42">LOOKUP(2,1/(H:H&lt;&gt;""),H:H)</f>
        <v>0</v>
      </c>
    </row>
    <row r="43" spans="11:22">
      <c r="K43"/>
      <c r="L43"/>
      <c r="N43"/>
      <c r="O43"/>
    </row>
    <row r="44" spans="11:22">
      <c r="K44"/>
      <c r="L44"/>
      <c r="N44"/>
      <c r="O44"/>
    </row>
    <row r="45" spans="11:22">
      <c r="K45"/>
      <c r="L45"/>
      <c r="N45"/>
      <c r="O45"/>
    </row>
    <row r="46" spans="11:22">
      <c r="N46"/>
      <c r="O46"/>
    </row>
    <row r="47" spans="11:22">
      <c r="N47"/>
      <c r="O47"/>
    </row>
    <row r="48" spans="11:22">
      <c r="N48"/>
      <c r="O48"/>
    </row>
    <row r="49" spans="14:15">
      <c r="N49"/>
      <c r="O49"/>
    </row>
    <row r="50" spans="14:15">
      <c r="N50"/>
      <c r="O50"/>
    </row>
    <row r="51" spans="14:15">
      <c r="N51"/>
      <c r="O51"/>
    </row>
    <row r="52" spans="14:15">
      <c r="N52"/>
      <c r="O52"/>
    </row>
    <row r="53" spans="14:15">
      <c r="N53"/>
      <c r="O53"/>
    </row>
    <row r="54" spans="14:15">
      <c r="N54"/>
      <c r="O54"/>
    </row>
    <row r="55" spans="14:15">
      <c r="N55"/>
      <c r="O55"/>
    </row>
  </sheetData>
  <pageMargins left="0.7" right="0.7" top="0.75" bottom="0.75" header="0.3" footer="0.3"/>
  <drawing r:id="rId5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2026-05-04T23:16:30Z</dcterms:created>
  <dcterms:modified xsi:type="dcterms:W3CDTF">2026-05-05T00:35:36Z</dcterms:modified>
  <cp:category/>
  <cp:contentStatus/>
</cp:coreProperties>
</file>